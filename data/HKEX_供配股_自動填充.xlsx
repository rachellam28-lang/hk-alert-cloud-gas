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831" firstSheet="0" activeTab="9" autoFilterDateGrouping="1"/>
  </bookViews>
  <sheets>
    <sheet xmlns:r="http://schemas.openxmlformats.org/officeDocument/2006/relationships" name="A_精簡版_機器填充用" sheetId="1" state="visible" r:id="rId1"/>
    <sheet xmlns:r="http://schemas.openxmlformats.org/officeDocument/2006/relationships" name="B_詳細版_人工拆解用" sheetId="2" state="visible" r:id="rId2"/>
    <sheet xmlns:r="http://schemas.openxmlformats.org/officeDocument/2006/relationships" name="文件類型代碼表" sheetId="3" state="visible" r:id="rId3"/>
    <sheet xmlns:r="http://schemas.openxmlformats.org/officeDocument/2006/relationships" name="欄位對照_精簡vs詳細" sheetId="4" state="visible" r:id="rId4"/>
    <sheet xmlns:r="http://schemas.openxmlformats.org/officeDocument/2006/relationships" name="2_CCASS集中度" sheetId="5" state="visible" r:id="rId5"/>
    <sheet xmlns:r="http://schemas.openxmlformats.org/officeDocument/2006/relationships" name="3_價量異動" sheetId="6" state="visible" r:id="rId6"/>
    <sheet xmlns:r="http://schemas.openxmlformats.org/officeDocument/2006/relationships" name="4_董事增減持" sheetId="7" state="visible" r:id="rId7"/>
    <sheet xmlns:r="http://schemas.openxmlformats.org/officeDocument/2006/relationships" name="5_市場敘事" sheetId="8" state="visible" r:id="rId8"/>
    <sheet xmlns:r="http://schemas.openxmlformats.org/officeDocument/2006/relationships" name="6_財技模式總結" sheetId="9" state="visible" r:id="rId9"/>
    <sheet xmlns:r="http://schemas.openxmlformats.org/officeDocument/2006/relationships" name="自動化工作流程" sheetId="10" state="visible" r:id="rId10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hkexnews.hk/listedco/listconews/sehk/2024/1111/2024111100858.pdf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hkexnews.hk/sdw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.../" TargetMode="External" Id="rId1"/><Relationship Type="http://schemas.openxmlformats.org/officeDocument/2006/relationships/hyperlink" Target="https://.../" TargetMode="External" Id="rId2"/><Relationship Type="http://schemas.openxmlformats.org/officeDocument/2006/relationships/hyperlink" Target="https://.../" TargetMode="External" Id="rId3"/><Relationship Type="http://schemas.openxmlformats.org/officeDocument/2006/relationships/hyperlink" Target="https://...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3.5"/>
  <cols>
    <col width="8.75" customWidth="1" min="1" max="1"/>
    <col width="50.75" customWidth="1" min="2" max="2"/>
    <col width="17.75" customWidth="1" min="3" max="3"/>
    <col width="12.75" customWidth="1" min="4" max="4"/>
    <col width="8.75" customWidth="1" min="5" max="5"/>
    <col width="13.75" customWidth="1" min="6" max="6"/>
    <col width="8.75" customWidth="1" min="7" max="8"/>
    <col width="12.75" customWidth="1" min="9" max="10"/>
    <col width="8.75" customWidth="1" min="11" max="11"/>
  </cols>
  <sheetData>
    <row r="1">
      <c r="A1" t="inlineStr">
        <is>
          <t>股票代號</t>
        </is>
      </c>
      <c r="B1" t="inlineStr">
        <is>
          <t>公告日期</t>
        </is>
      </c>
      <c r="C1" t="inlineStr">
        <is>
          <t>類型碼</t>
        </is>
      </c>
      <c r="D1" t="inlineStr">
        <is>
          <t>新股數</t>
        </is>
      </c>
      <c r="E1" t="inlineStr">
        <is>
          <t>發行價</t>
        </is>
      </c>
      <c r="F1" t="inlineStr">
        <is>
          <t>股本後</t>
        </is>
      </c>
      <c r="G1" t="inlineStr">
        <is>
          <t>攤薄%</t>
        </is>
      </c>
      <c r="H1" t="inlineStr">
        <is>
          <t>折溢價%</t>
        </is>
      </c>
      <c r="I1" t="inlineStr">
        <is>
          <t>集資額</t>
        </is>
      </c>
      <c r="J1" t="inlineStr">
        <is>
          <t>完成日期</t>
        </is>
      </c>
      <c r="K1" t="inlineStr">
        <is>
          <t>狀態</t>
        </is>
      </c>
    </row>
    <row r="2">
      <c r="A2" t="inlineStr">
        <is>
          <t>08547</t>
        </is>
      </c>
      <c r="B2" t="inlineStr">
        <is>
          <t>2025-12-10</t>
        </is>
      </c>
      <c r="C2" t="inlineStr">
        <is>
          <t>Placing_GM</t>
        </is>
      </c>
      <c r="D2" t="inlineStr">
        <is>
          <t>9.85千萬</t>
        </is>
      </c>
      <c r="E2" t="n">
        <v>0.118</v>
      </c>
      <c r="F2" t="inlineStr"/>
      <c r="G2" t="n">
        <v>19.998</v>
      </c>
      <c r="H2" t="n">
        <v>-1.7</v>
      </c>
      <c r="I2" t="n">
        <v>11600000</v>
      </c>
      <c r="J2" t="inlineStr"/>
      <c r="K2" t="inlineStr">
        <is>
          <t>待確認</t>
        </is>
      </c>
    </row>
    <row r="3">
      <c r="A3" t="inlineStr">
        <is>
          <t>02431</t>
        </is>
      </c>
      <c r="B3" t="inlineStr">
        <is>
          <t>2026-05-29</t>
        </is>
      </c>
      <c r="C3" t="inlineStr">
        <is>
          <t>Issue_GM_Debt</t>
        </is>
      </c>
      <c r="D3" t="inlineStr">
        <is>
          <t>2.34百萬</t>
        </is>
      </c>
      <c r="E3" t="n">
        <v>9.81</v>
      </c>
      <c r="F3" t="inlineStr"/>
      <c r="G3" t="n">
        <v>0.5669999999999999</v>
      </c>
      <c r="H3" t="n">
        <v>-0.8</v>
      </c>
      <c r="I3" t="n">
        <v>22900000</v>
      </c>
      <c r="J3" t="inlineStr"/>
      <c r="K3" t="inlineStr">
        <is>
          <t>進行中</t>
        </is>
      </c>
    </row>
    <row r="4">
      <c r="A4" t="inlineStr">
        <is>
          <t>09678</t>
        </is>
      </c>
      <c r="B4" t="inlineStr">
        <is>
          <t>2026-05-28</t>
        </is>
      </c>
      <c r="C4" t="inlineStr">
        <is>
          <t>Placing_GM</t>
        </is>
      </c>
      <c r="D4" t="inlineStr">
        <is>
          <t>1.70百萬</t>
        </is>
      </c>
      <c r="E4" t="n">
        <v>228</v>
      </c>
      <c r="F4" t="inlineStr"/>
      <c r="G4" t="n">
        <v>2.33</v>
      </c>
      <c r="H4" t="n">
        <v>-12.7</v>
      </c>
      <c r="I4" t="n">
        <v>388000000</v>
      </c>
      <c r="J4" t="inlineStr"/>
      <c r="K4" t="inlineStr">
        <is>
          <t>進行中</t>
        </is>
      </c>
    </row>
    <row r="5">
      <c r="A5" t="inlineStr">
        <is>
          <t>02617</t>
        </is>
      </c>
      <c r="B5" t="inlineStr">
        <is>
          <t>2026-05-19</t>
        </is>
      </c>
      <c r="C5" t="inlineStr">
        <is>
          <t>Placing_GM</t>
        </is>
      </c>
      <c r="D5" t="inlineStr">
        <is>
          <t>3.84百萬</t>
        </is>
      </c>
      <c r="E5" t="n">
        <v>40.83</v>
      </c>
      <c r="F5" t="inlineStr"/>
      <c r="G5" t="n">
        <v>0.949</v>
      </c>
      <c r="H5" t="n">
        <v>-12.4</v>
      </c>
      <c r="I5" t="n">
        <v>157000000</v>
      </c>
      <c r="J5" t="inlineStr"/>
      <c r="K5" t="inlineStr">
        <is>
          <t>進行中</t>
        </is>
      </c>
    </row>
    <row r="6">
      <c r="A6" t="inlineStr">
        <is>
          <t>02473</t>
        </is>
      </c>
      <c r="B6" t="inlineStr">
        <is>
          <t>2026-05-13</t>
        </is>
      </c>
      <c r="C6" t="inlineStr">
        <is>
          <t>Placing_SM</t>
        </is>
      </c>
      <c r="D6" t="inlineStr">
        <is>
          <t>1.55億</t>
        </is>
      </c>
      <c r="E6" t="n">
        <v>0.82</v>
      </c>
      <c r="F6" t="inlineStr"/>
      <c r="G6" t="n">
        <v>9.090999999999999</v>
      </c>
      <c r="H6" t="n">
        <v>-2.4</v>
      </c>
      <c r="I6" t="n">
        <v>127000000</v>
      </c>
      <c r="J6" t="inlineStr"/>
      <c r="K6" t="inlineStr">
        <is>
          <t>進行中</t>
        </is>
      </c>
    </row>
    <row r="7">
      <c r="A7" t="inlineStr">
        <is>
          <t>00474</t>
        </is>
      </c>
      <c r="B7" t="inlineStr">
        <is>
          <t>2026-05-04</t>
        </is>
      </c>
      <c r="C7" t="inlineStr">
        <is>
          <t>Issue_GM_Debt</t>
        </is>
      </c>
      <c r="D7" t="inlineStr">
        <is>
          <t>13.94億</t>
        </is>
      </c>
      <c r="E7" t="n">
        <v>0.12</v>
      </c>
      <c r="F7" t="inlineStr"/>
      <c r="G7" t="n">
        <v>15.741</v>
      </c>
      <c r="H7" t="n">
        <v>0</v>
      </c>
      <c r="I7" t="n">
        <v>167000000</v>
      </c>
      <c r="J7" t="inlineStr"/>
      <c r="K7" t="inlineStr">
        <is>
          <t>進行中</t>
        </is>
      </c>
    </row>
    <row r="8">
      <c r="A8" t="inlineStr">
        <is>
          <t>01921</t>
        </is>
      </c>
      <c r="B8" t="inlineStr">
        <is>
          <t>2026-04-28</t>
        </is>
      </c>
      <c r="C8" t="inlineStr">
        <is>
          <t>Placing_SM</t>
        </is>
      </c>
      <c r="D8" t="inlineStr">
        <is>
          <t>7.43千萬</t>
        </is>
      </c>
      <c r="E8" t="n">
        <v>5.28</v>
      </c>
      <c r="F8" t="inlineStr"/>
      <c r="G8" t="n">
        <v>4.927</v>
      </c>
      <c r="H8" t="n">
        <v>-0.4</v>
      </c>
      <c r="I8" t="n">
        <v>392000000</v>
      </c>
      <c r="J8" t="inlineStr"/>
      <c r="K8" t="inlineStr">
        <is>
          <t>待確認</t>
        </is>
      </c>
    </row>
    <row r="9">
      <c r="A9" t="inlineStr">
        <is>
          <t>03330</t>
        </is>
      </c>
      <c r="B9" t="inlineStr">
        <is>
          <t>2026-04-14</t>
        </is>
      </c>
      <c r="C9" t="inlineStr">
        <is>
          <t>Placing_SM</t>
        </is>
      </c>
      <c r="D9" t="inlineStr">
        <is>
          <t>2.98千萬</t>
        </is>
      </c>
      <c r="E9" t="n">
        <v>26.16</v>
      </c>
      <c r="F9" t="inlineStr"/>
      <c r="G9" t="n">
        <v>2.205</v>
      </c>
      <c r="H9" t="n">
        <v>-1.4</v>
      </c>
      <c r="I9" t="n">
        <v>780000000</v>
      </c>
      <c r="J9" t="inlineStr"/>
      <c r="K9" t="inlineStr">
        <is>
          <t>待確認</t>
        </is>
      </c>
    </row>
    <row r="10">
      <c r="A10" t="inlineStr">
        <is>
          <t>08299</t>
        </is>
      </c>
      <c r="B10" t="inlineStr">
        <is>
          <t>2026-03-30</t>
        </is>
      </c>
      <c r="C10" t="inlineStr">
        <is>
          <t>Issue_GM_Debt</t>
        </is>
      </c>
      <c r="D10" t="inlineStr">
        <is>
          <t>6.76億</t>
        </is>
      </c>
      <c r="E10" t="n">
        <v>0.5</v>
      </c>
      <c r="F10" t="inlineStr"/>
      <c r="G10" t="n">
        <v>7.984</v>
      </c>
      <c r="H10" t="n">
        <v>-2</v>
      </c>
      <c r="I10" t="n">
        <v>338000000</v>
      </c>
      <c r="J10" t="inlineStr"/>
      <c r="K10" t="inlineStr">
        <is>
          <t>待確認</t>
        </is>
      </c>
    </row>
    <row r="11">
      <c r="A11" t="inlineStr">
        <is>
          <t>01030</t>
        </is>
      </c>
      <c r="B11" t="inlineStr">
        <is>
          <t>2026-02-05</t>
        </is>
      </c>
      <c r="C11" t="inlineStr">
        <is>
          <t>Placing_SM</t>
        </is>
      </c>
      <c r="D11" t="inlineStr">
        <is>
          <t>1.98億</t>
        </is>
      </c>
      <c r="E11" t="n">
        <v>2.39</v>
      </c>
      <c r="F11" t="inlineStr"/>
      <c r="G11" t="n">
        <v>2.802</v>
      </c>
      <c r="H11" t="n">
        <v>-2</v>
      </c>
      <c r="I11" t="n">
        <v>473000000.0000001</v>
      </c>
      <c r="J11" t="inlineStr"/>
      <c r="K11" t="inlineStr">
        <is>
          <t>待確認</t>
        </is>
      </c>
    </row>
    <row r="12">
      <c r="A12" t="inlineStr">
        <is>
          <t>09678</t>
        </is>
      </c>
      <c r="B12" t="inlineStr">
        <is>
          <t>2026-02-03</t>
        </is>
      </c>
      <c r="C12" t="inlineStr">
        <is>
          <t>Placing_GM</t>
        </is>
      </c>
      <c r="D12" t="inlineStr">
        <is>
          <t>1.01百萬</t>
        </is>
      </c>
      <c r="E12" t="n">
        <v>310</v>
      </c>
      <c r="F12" t="inlineStr"/>
      <c r="G12" t="n">
        <v>1.401</v>
      </c>
      <c r="H12" t="n">
        <v>-12</v>
      </c>
      <c r="I12" t="n">
        <v>312000000</v>
      </c>
      <c r="J12" t="inlineStr"/>
      <c r="K12" t="inlineStr">
        <is>
          <t>待確認</t>
        </is>
      </c>
    </row>
    <row r="13">
      <c r="A13" t="inlineStr">
        <is>
          <t>00474</t>
        </is>
      </c>
      <c r="B13" t="inlineStr">
        <is>
          <t>2026-01-30</t>
        </is>
      </c>
      <c r="C13" t="inlineStr">
        <is>
          <t>Issue_GM_Debt</t>
        </is>
      </c>
      <c r="D13" t="inlineStr">
        <is>
          <t>14.76億</t>
        </is>
      </c>
      <c r="E13" t="n">
        <v>0.12</v>
      </c>
      <c r="F13" t="inlineStr"/>
      <c r="G13" t="n">
        <v>20</v>
      </c>
      <c r="H13" t="n">
        <v>0</v>
      </c>
      <c r="I13" t="n">
        <v>177000000</v>
      </c>
      <c r="J13" t="inlineStr"/>
      <c r="K13" t="inlineStr">
        <is>
          <t>待確認</t>
        </is>
      </c>
    </row>
    <row r="14">
      <c r="A14" t="inlineStr">
        <is>
          <t>06681</t>
        </is>
      </c>
      <c r="B14" t="inlineStr">
        <is>
          <t>2026-01-23</t>
        </is>
      </c>
      <c r="C14" t="inlineStr">
        <is>
          <t>Placing_SM</t>
        </is>
      </c>
      <c r="D14" t="inlineStr">
        <is>
          <t>9.20千萬</t>
        </is>
      </c>
      <c r="E14" t="n">
        <v>5.6</v>
      </c>
      <c r="F14" t="inlineStr"/>
      <c r="G14" t="n">
        <v>7.265</v>
      </c>
      <c r="H14" t="n">
        <v>-3.3</v>
      </c>
      <c r="I14" t="n">
        <v>515000000.0000001</v>
      </c>
      <c r="J14" t="inlineStr"/>
      <c r="K14" t="inlineStr">
        <is>
          <t>待確認</t>
        </is>
      </c>
    </row>
    <row r="15">
      <c r="A15" t="inlineStr">
        <is>
          <t>09678</t>
        </is>
      </c>
      <c r="B15" t="inlineStr">
        <is>
          <t>2026-01-16</t>
        </is>
      </c>
      <c r="C15" t="inlineStr">
        <is>
          <t>Placing_GM</t>
        </is>
      </c>
      <c r="D15" t="inlineStr">
        <is>
          <t>78.00萬</t>
        </is>
      </c>
      <c r="E15" t="n">
        <v>252</v>
      </c>
      <c r="F15" t="inlineStr"/>
      <c r="G15" t="n">
        <v>1.096</v>
      </c>
      <c r="H15" t="n">
        <v>-10.1</v>
      </c>
      <c r="I15" t="n">
        <v>197000000</v>
      </c>
      <c r="J15" t="inlineStr"/>
      <c r="K15" t="inlineStr">
        <is>
          <t>待確認</t>
        </is>
      </c>
    </row>
    <row r="16">
      <c r="A16" t="inlineStr">
        <is>
          <t>02617</t>
        </is>
      </c>
      <c r="B16" t="inlineStr">
        <is>
          <t>2026-01-14</t>
        </is>
      </c>
      <c r="C16" t="inlineStr">
        <is>
          <t>Placing_GM</t>
        </is>
      </c>
      <c r="D16" t="inlineStr">
        <is>
          <t>2.10百萬</t>
        </is>
      </c>
      <c r="E16" t="n">
        <v>92.84999999999999</v>
      </c>
      <c r="F16" t="inlineStr"/>
      <c r="G16" t="n">
        <v>0.529</v>
      </c>
      <c r="H16" t="n">
        <v>-7.2</v>
      </c>
      <c r="I16" t="n">
        <v>195000000</v>
      </c>
      <c r="J16" t="inlineStr"/>
      <c r="K16" t="inlineStr">
        <is>
          <t>待確認</t>
        </is>
      </c>
    </row>
    <row r="17">
      <c r="A17" t="inlineStr">
        <is>
          <t>01177</t>
        </is>
      </c>
      <c r="B17" t="inlineStr">
        <is>
          <t>2026-01-13</t>
        </is>
      </c>
      <c r="C17" t="inlineStr">
        <is>
          <t>Issue_GM_Debt</t>
        </is>
      </c>
      <c r="D17" t="inlineStr">
        <is>
          <t>1.46千萬</t>
        </is>
      </c>
      <c r="E17" t="n">
        <v>6.66</v>
      </c>
      <c r="F17" t="inlineStr"/>
      <c r="G17" t="n">
        <v>0.078</v>
      </c>
      <c r="H17" t="n">
        <v>-3.6</v>
      </c>
      <c r="I17" t="n">
        <v>97200000</v>
      </c>
      <c r="J17" t="inlineStr"/>
      <c r="K17" t="inlineStr">
        <is>
          <t>待確認</t>
        </is>
      </c>
    </row>
    <row r="18">
      <c r="A18" t="inlineStr">
        <is>
          <t>01327</t>
        </is>
      </c>
      <c r="B18" t="inlineStr">
        <is>
          <t>2026-06-04</t>
        </is>
      </c>
      <c r="C18" t="inlineStr">
        <is>
          <t>Placing_GM</t>
        </is>
      </c>
      <c r="D18" t="inlineStr">
        <is>
          <t>4.31千萬</t>
        </is>
      </c>
      <c r="E18" t="n">
        <v>0.5</v>
      </c>
      <c r="F18" t="inlineStr"/>
      <c r="G18" t="n">
        <v>20</v>
      </c>
      <c r="H18" t="n">
        <v>0</v>
      </c>
      <c r="I18" t="n">
        <v>21600000</v>
      </c>
      <c r="J18" t="inlineStr"/>
      <c r="K18" t="inlineStr">
        <is>
          <t>進行中</t>
        </is>
      </c>
    </row>
    <row r="19">
      <c r="A19" t="inlineStr">
        <is>
          <t>09936</t>
        </is>
      </c>
      <c r="B19" t="inlineStr">
        <is>
          <t>2026-06-03</t>
        </is>
      </c>
      <c r="C19" t="inlineStr">
        <is>
          <t>Placing_SM</t>
        </is>
      </c>
      <c r="D19" t="inlineStr">
        <is>
          <t>3.41千萬</t>
        </is>
      </c>
      <c r="E19" t="n">
        <v>16.1</v>
      </c>
      <c r="F19" t="inlineStr"/>
      <c r="G19" t="n">
        <v>8.974</v>
      </c>
      <c r="H19" t="n">
        <v>-10.3</v>
      </c>
      <c r="I19" t="n">
        <v>549000000</v>
      </c>
      <c r="J19" t="inlineStr"/>
      <c r="K19" t="inlineStr">
        <is>
          <t>進行中</t>
        </is>
      </c>
    </row>
    <row r="20">
      <c r="A20" t="inlineStr">
        <is>
          <t>08031</t>
        </is>
      </c>
      <c r="B20" t="inlineStr">
        <is>
          <t>2026-06-01</t>
        </is>
      </c>
      <c r="C20" t="inlineStr">
        <is>
          <t>Placing_GM</t>
        </is>
      </c>
      <c r="D20" t="inlineStr">
        <is>
          <t>5.91千萬</t>
        </is>
      </c>
      <c r="E20" t="n">
        <v>0.298</v>
      </c>
      <c r="F20" t="inlineStr"/>
      <c r="G20" t="n">
        <v>19.998</v>
      </c>
      <c r="H20" t="n">
        <v>-3.9</v>
      </c>
      <c r="I20" t="n">
        <v>17600000</v>
      </c>
      <c r="J20" t="inlineStr"/>
      <c r="K20" t="inlineStr">
        <is>
          <t>進行中</t>
        </is>
      </c>
    </row>
    <row r="21">
      <c r="A21" t="inlineStr">
        <is>
          <t>09689</t>
        </is>
      </c>
      <c r="B21" t="inlineStr">
        <is>
          <t>2026-05-29</t>
        </is>
      </c>
      <c r="C21" t="inlineStr">
        <is>
          <t>Placing_GM</t>
        </is>
      </c>
      <c r="D21" t="inlineStr">
        <is>
          <t>1.86億</t>
        </is>
      </c>
      <c r="E21" t="n">
        <v>0.694</v>
      </c>
      <c r="F21" t="inlineStr"/>
      <c r="G21" t="n">
        <v>20</v>
      </c>
      <c r="H21" t="n">
        <v>-0.9</v>
      </c>
      <c r="I21" t="n">
        <v>129000000</v>
      </c>
      <c r="J21" t="inlineStr"/>
      <c r="K21" t="inlineStr">
        <is>
          <t>進行中</t>
        </is>
      </c>
    </row>
    <row r="22">
      <c r="A22" t="inlineStr">
        <is>
          <t>01286</t>
        </is>
      </c>
      <c r="B22" t="inlineStr">
        <is>
          <t>2026-05-27</t>
        </is>
      </c>
      <c r="C22" t="inlineStr">
        <is>
          <t>Placing_SM</t>
        </is>
      </c>
      <c r="D22" t="inlineStr">
        <is>
          <t>6.00千萬</t>
        </is>
      </c>
      <c r="E22" t="n">
        <v>9.1</v>
      </c>
      <c r="F22" t="inlineStr"/>
      <c r="G22" t="n">
        <v>3.179</v>
      </c>
      <c r="H22" t="n">
        <v>-8.6</v>
      </c>
      <c r="I22" t="n">
        <v>546000000</v>
      </c>
      <c r="J22" t="inlineStr"/>
      <c r="K22" t="inlineStr">
        <is>
          <t>進行中</t>
        </is>
      </c>
    </row>
    <row r="23">
      <c r="A23" t="inlineStr">
        <is>
          <t>01679</t>
        </is>
      </c>
      <c r="B23" t="inlineStr">
        <is>
          <t>2026-05-27</t>
        </is>
      </c>
      <c r="C23" t="inlineStr">
        <is>
          <t>Placing_GM</t>
        </is>
      </c>
      <c r="D23" t="inlineStr">
        <is>
          <t>8.59千萬</t>
        </is>
      </c>
      <c r="E23" t="n">
        <v>0.46</v>
      </c>
      <c r="F23" t="inlineStr"/>
      <c r="G23" t="n">
        <v>39.789</v>
      </c>
      <c r="H23" t="n">
        <v>-11.5</v>
      </c>
      <c r="I23" t="n">
        <v>39500000</v>
      </c>
      <c r="J23" t="inlineStr"/>
      <c r="K23" t="inlineStr">
        <is>
          <t>進行中</t>
        </is>
      </c>
    </row>
    <row r="24">
      <c r="A24" t="inlineStr">
        <is>
          <t>01384</t>
        </is>
      </c>
      <c r="B24" t="inlineStr">
        <is>
          <t>2026-05-21</t>
        </is>
      </c>
      <c r="C24" t="inlineStr">
        <is>
          <t>Placing_GM</t>
        </is>
      </c>
      <c r="D24" t="inlineStr">
        <is>
          <t>7.94百萬</t>
        </is>
      </c>
      <c r="E24" t="n">
        <v>50.58</v>
      </c>
      <c r="F24" t="inlineStr"/>
      <c r="G24" t="n">
        <v>2.431</v>
      </c>
      <c r="H24" t="n">
        <v>-3.3</v>
      </c>
      <c r="I24" t="n">
        <v>401999999.9999999</v>
      </c>
      <c r="J24" t="inlineStr"/>
      <c r="K24" t="inlineStr">
        <is>
          <t>進行中</t>
        </is>
      </c>
    </row>
    <row r="25">
      <c r="A25" t="inlineStr">
        <is>
          <t>02495</t>
        </is>
      </c>
      <c r="B25" t="inlineStr">
        <is>
          <t>2026-05-20</t>
        </is>
      </c>
      <c r="C25" t="inlineStr">
        <is>
          <t>Placing_GM</t>
        </is>
      </c>
      <c r="D25" t="inlineStr">
        <is>
          <t>2.20百萬</t>
        </is>
      </c>
      <c r="E25" t="n">
        <v>46.3</v>
      </c>
      <c r="F25" t="inlineStr"/>
      <c r="G25" t="n">
        <v>5.543</v>
      </c>
      <c r="H25" t="n">
        <v>-2.3</v>
      </c>
      <c r="I25" t="n">
        <v>102000000</v>
      </c>
      <c r="J25" t="inlineStr"/>
      <c r="K25" t="inlineStr">
        <is>
          <t>進行中</t>
        </is>
      </c>
    </row>
    <row r="26">
      <c r="A26" t="inlineStr">
        <is>
          <t>08196</t>
        </is>
      </c>
      <c r="B26" t="inlineStr">
        <is>
          <t>2026-05-19</t>
        </is>
      </c>
      <c r="C26" t="inlineStr">
        <is>
          <t>Placing_GM</t>
        </is>
      </c>
      <c r="D26" t="inlineStr">
        <is>
          <t>1.06千萬</t>
        </is>
      </c>
      <c r="E26" t="n">
        <v>0.85</v>
      </c>
      <c r="F26" t="inlineStr"/>
      <c r="G26" t="n">
        <v>20</v>
      </c>
      <c r="H26" t="n">
        <v>0</v>
      </c>
      <c r="I26" t="n">
        <v>9010000</v>
      </c>
      <c r="J26" t="inlineStr"/>
      <c r="K26" t="inlineStr">
        <is>
          <t>進行中</t>
        </is>
      </c>
    </row>
    <row r="27">
      <c r="A27" t="inlineStr">
        <is>
          <t>01003</t>
        </is>
      </c>
      <c r="B27" t="inlineStr">
        <is>
          <t>2026-05-19</t>
        </is>
      </c>
      <c r="C27" t="inlineStr">
        <is>
          <t>Placing_GM</t>
        </is>
      </c>
      <c r="D27" t="inlineStr">
        <is>
          <t>7.31億</t>
        </is>
      </c>
      <c r="E27" t="n">
        <v>0.275</v>
      </c>
      <c r="F27" t="inlineStr"/>
      <c r="G27" t="n">
        <v>16.681</v>
      </c>
      <c r="H27" t="n">
        <v>-1.8</v>
      </c>
      <c r="I27" t="n">
        <v>201000000</v>
      </c>
      <c r="J27" t="inlineStr"/>
      <c r="K27" t="inlineStr">
        <is>
          <t>進行中</t>
        </is>
      </c>
    </row>
    <row r="28">
      <c r="A28" t="inlineStr">
        <is>
          <t>02556</t>
        </is>
      </c>
      <c r="B28" t="inlineStr">
        <is>
          <t>2026-05-15</t>
        </is>
      </c>
      <c r="C28" t="inlineStr">
        <is>
          <t>Placing_GM</t>
        </is>
      </c>
      <c r="D28" t="inlineStr">
        <is>
          <t>1.23千萬</t>
        </is>
      </c>
      <c r="E28" t="n">
        <v>40.54</v>
      </c>
      <c r="F28" t="inlineStr"/>
      <c r="G28" t="n">
        <v>4.829</v>
      </c>
      <c r="H28" t="n">
        <v>0</v>
      </c>
      <c r="I28" t="n">
        <v>500000000</v>
      </c>
      <c r="J28" t="inlineStr"/>
      <c r="K28" t="inlineStr">
        <is>
          <t>進行中</t>
        </is>
      </c>
    </row>
    <row r="29">
      <c r="A29" t="inlineStr">
        <is>
          <t>01729</t>
        </is>
      </c>
      <c r="B29" t="inlineStr">
        <is>
          <t>2026-05-12</t>
        </is>
      </c>
      <c r="C29" t="inlineStr">
        <is>
          <t>Placing_GM</t>
        </is>
      </c>
      <c r="D29" t="inlineStr">
        <is>
          <t>1.38億</t>
        </is>
      </c>
      <c r="E29" t="n">
        <v>21</v>
      </c>
      <c r="F29" t="inlineStr"/>
      <c r="G29" t="n">
        <v>6.596</v>
      </c>
      <c r="H29" t="n">
        <v>-3.9</v>
      </c>
      <c r="I29" t="n">
        <v>2900000000</v>
      </c>
      <c r="J29" t="inlineStr"/>
      <c r="K29" t="inlineStr">
        <is>
          <t>進行中</t>
        </is>
      </c>
    </row>
    <row r="30">
      <c r="A30" t="inlineStr">
        <is>
          <t>00005</t>
        </is>
      </c>
      <c r="B30" t="inlineStr">
        <is>
          <t>2026-05-12</t>
        </is>
      </c>
      <c r="C30" t="inlineStr">
        <is>
          <t>Placing_GM</t>
        </is>
      </c>
      <c r="D30" t="inlineStr">
        <is>
          <t>--</t>
        </is>
      </c>
      <c r="E30" t="inlineStr">
        <is>
          <t>--</t>
        </is>
      </c>
      <c r="F30" t="inlineStr"/>
      <c r="G30" t="inlineStr"/>
      <c r="H30" t="inlineStr"/>
      <c r="I30" t="n">
        <v>1500000000</v>
      </c>
      <c r="J30" t="inlineStr"/>
      <c r="K30" t="inlineStr">
        <is>
          <t>進行中</t>
        </is>
      </c>
    </row>
    <row r="31">
      <c r="A31" t="inlineStr">
        <is>
          <t>01568</t>
        </is>
      </c>
      <c r="B31" t="inlineStr">
        <is>
          <t>2026-05-05</t>
        </is>
      </c>
      <c r="C31" t="inlineStr">
        <is>
          <t>Placing_GM</t>
        </is>
      </c>
      <c r="D31" t="inlineStr">
        <is>
          <t>2.20千萬</t>
        </is>
      </c>
      <c r="E31" t="n">
        <v>0.66</v>
      </c>
      <c r="F31" t="inlineStr"/>
      <c r="G31" t="n">
        <v>1.019</v>
      </c>
      <c r="H31" t="n">
        <v>-4.3</v>
      </c>
      <c r="I31" t="n">
        <v>14500000</v>
      </c>
      <c r="J31" t="inlineStr"/>
      <c r="K31" t="inlineStr">
        <is>
          <t>進行中</t>
        </is>
      </c>
    </row>
    <row r="32">
      <c r="A32" t="inlineStr">
        <is>
          <t>08471</t>
        </is>
      </c>
      <c r="B32" t="inlineStr">
        <is>
          <t>2026-05-05</t>
        </is>
      </c>
      <c r="C32" t="inlineStr">
        <is>
          <t>Placing_GM</t>
        </is>
      </c>
      <c r="D32" t="inlineStr">
        <is>
          <t>2.45億</t>
        </is>
      </c>
      <c r="E32" t="n">
        <v>0.02</v>
      </c>
      <c r="F32" t="inlineStr"/>
      <c r="G32" t="n">
        <v>20</v>
      </c>
      <c r="H32" t="n">
        <v>0</v>
      </c>
      <c r="I32" t="n">
        <v>4900000</v>
      </c>
      <c r="J32" t="inlineStr"/>
      <c r="K32" t="inlineStr">
        <is>
          <t>進行中</t>
        </is>
      </c>
    </row>
    <row r="33">
      <c r="A33" t="inlineStr">
        <is>
          <t>03750</t>
        </is>
      </c>
      <c r="B33" t="inlineStr">
        <is>
          <t>2026-04-28</t>
        </is>
      </c>
      <c r="C33" t="inlineStr">
        <is>
          <t>Placing_GM</t>
        </is>
      </c>
      <c r="D33" t="inlineStr">
        <is>
          <t>6.24千萬</t>
        </is>
      </c>
      <c r="E33" t="n">
        <v>628.2</v>
      </c>
      <c r="F33" t="inlineStr"/>
      <c r="G33" t="n">
        <v>1.367</v>
      </c>
      <c r="H33" t="n">
        <v>-0.1</v>
      </c>
      <c r="I33" t="n">
        <v>39190000000</v>
      </c>
      <c r="J33" t="inlineStr"/>
      <c r="K33" t="inlineStr">
        <is>
          <t>待確認</t>
        </is>
      </c>
    </row>
    <row r="34">
      <c r="A34" t="inlineStr">
        <is>
          <t>00472</t>
        </is>
      </c>
      <c r="B34" t="inlineStr">
        <is>
          <t>2026-04-28</t>
        </is>
      </c>
      <c r="C34" t="inlineStr">
        <is>
          <t>Placing_GM</t>
        </is>
      </c>
      <c r="D34" t="inlineStr">
        <is>
          <t>6.42億</t>
        </is>
      </c>
      <c r="E34" t="n">
        <v>0.215</v>
      </c>
      <c r="F34" t="inlineStr"/>
      <c r="G34" t="n">
        <v>20</v>
      </c>
      <c r="H34" t="n">
        <v>-2.3</v>
      </c>
      <c r="I34" t="n">
        <v>138000000</v>
      </c>
      <c r="J34" t="inlineStr"/>
      <c r="K34" t="inlineStr">
        <is>
          <t>待確認</t>
        </is>
      </c>
    </row>
    <row r="35">
      <c r="A35" t="inlineStr">
        <is>
          <t>01380</t>
        </is>
      </c>
      <c r="B35" t="inlineStr">
        <is>
          <t>2026-04-24</t>
        </is>
      </c>
      <c r="C35" t="inlineStr">
        <is>
          <t>Placing_GM</t>
        </is>
      </c>
      <c r="D35" t="inlineStr">
        <is>
          <t>1.59千萬</t>
        </is>
      </c>
      <c r="E35" t="n">
        <v>0.57</v>
      </c>
      <c r="F35" t="inlineStr"/>
      <c r="G35" t="n">
        <v>3.169</v>
      </c>
      <c r="H35" t="n">
        <v>0</v>
      </c>
      <c r="I35" t="n">
        <v>9050000</v>
      </c>
      <c r="J35" t="inlineStr"/>
      <c r="K35" t="inlineStr">
        <is>
          <t>待確認</t>
        </is>
      </c>
    </row>
    <row r="36">
      <c r="A36" t="inlineStr">
        <is>
          <t>08320</t>
        </is>
      </c>
      <c r="B36" t="inlineStr">
        <is>
          <t>2026-04-22</t>
        </is>
      </c>
      <c r="C36" t="inlineStr">
        <is>
          <t>Placing_GM</t>
        </is>
      </c>
      <c r="D36" t="inlineStr">
        <is>
          <t>1.47億</t>
        </is>
      </c>
      <c r="E36" t="n">
        <v>0.1</v>
      </c>
      <c r="F36" t="inlineStr"/>
      <c r="G36" t="n">
        <v>19.883</v>
      </c>
      <c r="H36" t="n">
        <v>0</v>
      </c>
      <c r="I36" t="n">
        <v>14700000</v>
      </c>
      <c r="J36" t="inlineStr"/>
      <c r="K36" t="inlineStr">
        <is>
          <t>待確認</t>
        </is>
      </c>
    </row>
    <row r="37">
      <c r="A37" t="inlineStr">
        <is>
          <t>00451</t>
        </is>
      </c>
      <c r="B37" t="inlineStr">
        <is>
          <t>2026-04-20</t>
        </is>
      </c>
      <c r="C37" t="inlineStr">
        <is>
          <t>Placing_GM</t>
        </is>
      </c>
      <c r="D37" t="inlineStr">
        <is>
          <t>1.27億</t>
        </is>
      </c>
      <c r="E37" t="n">
        <v>1.05</v>
      </c>
      <c r="F37" t="inlineStr"/>
      <c r="G37" t="n">
        <v>8.170999999999999</v>
      </c>
      <c r="H37" t="n">
        <v>0</v>
      </c>
      <c r="I37" t="n">
        <v>133000000</v>
      </c>
      <c r="J37" t="inlineStr"/>
      <c r="K37" t="inlineStr">
        <is>
          <t>待確認</t>
        </is>
      </c>
    </row>
    <row r="38">
      <c r="A38" t="inlineStr">
        <is>
          <t>00020</t>
        </is>
      </c>
      <c r="B38" t="inlineStr">
        <is>
          <t>2026-04-17</t>
        </is>
      </c>
      <c r="C38" t="inlineStr">
        <is>
          <t>Placing_GM</t>
        </is>
      </c>
      <c r="D38" t="inlineStr">
        <is>
          <t>17.00億</t>
        </is>
      </c>
      <c r="E38" t="n">
        <v>1.91</v>
      </c>
      <c r="F38" t="inlineStr"/>
      <c r="G38" t="n">
        <v>4.205</v>
      </c>
      <c r="H38" t="n">
        <v>-5</v>
      </c>
      <c r="I38" t="n">
        <v>3247000000</v>
      </c>
      <c r="J38" t="inlineStr"/>
      <c r="K38" t="inlineStr">
        <is>
          <t>待確認</t>
        </is>
      </c>
    </row>
    <row r="39">
      <c r="A39" t="inlineStr">
        <is>
          <t>02499</t>
        </is>
      </c>
      <c r="B39" t="inlineStr">
        <is>
          <t>2026-04-17</t>
        </is>
      </c>
      <c r="C39" t="inlineStr">
        <is>
          <t>Placing_GM</t>
        </is>
      </c>
      <c r="D39" t="inlineStr">
        <is>
          <t>1.45千萬</t>
        </is>
      </c>
      <c r="E39" t="n">
        <v>6.02</v>
      </c>
      <c r="F39" t="inlineStr"/>
      <c r="G39" t="n">
        <v>4.166</v>
      </c>
      <c r="H39" t="n">
        <v>-2.3</v>
      </c>
      <c r="I39" t="n">
        <v>87300000</v>
      </c>
      <c r="J39" t="inlineStr"/>
      <c r="K39" t="inlineStr">
        <is>
          <t>待確認</t>
        </is>
      </c>
    </row>
    <row r="40">
      <c r="A40" t="inlineStr">
        <is>
          <t>02312</t>
        </is>
      </c>
      <c r="B40" t="inlineStr">
        <is>
          <t>2026-04-17</t>
        </is>
      </c>
      <c r="C40" t="inlineStr">
        <is>
          <t>Issue_GM_Debt</t>
        </is>
      </c>
      <c r="D40" t="inlineStr">
        <is>
          <t>4.06千萬</t>
        </is>
      </c>
      <c r="E40" t="n">
        <v>0.728</v>
      </c>
      <c r="F40" t="inlineStr"/>
      <c r="G40" t="n">
        <v>9.753</v>
      </c>
      <c r="H40" t="n">
        <v>-5.5</v>
      </c>
      <c r="I40" t="n">
        <v>29600000</v>
      </c>
      <c r="J40" t="inlineStr"/>
      <c r="K40" t="inlineStr">
        <is>
          <t>待確認</t>
        </is>
      </c>
    </row>
    <row r="41">
      <c r="A41" t="inlineStr">
        <is>
          <t>02110</t>
        </is>
      </c>
      <c r="B41" t="inlineStr">
        <is>
          <t>2026-04-15</t>
        </is>
      </c>
      <c r="C41" t="inlineStr">
        <is>
          <t>Placing_GM</t>
        </is>
      </c>
      <c r="D41" t="inlineStr">
        <is>
          <t>7.20千萬</t>
        </is>
      </c>
      <c r="E41" t="n">
        <v>0.1</v>
      </c>
      <c r="F41" t="inlineStr"/>
      <c r="G41" t="n">
        <v>20</v>
      </c>
      <c r="H41" t="n">
        <v>0</v>
      </c>
      <c r="I41" t="n">
        <v>7200000</v>
      </c>
      <c r="J41" t="inlineStr"/>
      <c r="K41" t="inlineStr">
        <is>
          <t>待確認</t>
        </is>
      </c>
    </row>
    <row r="42">
      <c r="A42" t="inlineStr">
        <is>
          <t>02617</t>
        </is>
      </c>
      <c r="B42" t="inlineStr">
        <is>
          <t>2026-04-15</t>
        </is>
      </c>
      <c r="C42" t="inlineStr">
        <is>
          <t>Placing_GM</t>
        </is>
      </c>
      <c r="D42" t="inlineStr">
        <is>
          <t>5.09百萬</t>
        </is>
      </c>
      <c r="E42" t="n">
        <v>57.03</v>
      </c>
      <c r="F42" t="inlineStr"/>
      <c r="G42" t="n">
        <v>1.274</v>
      </c>
      <c r="H42" t="n">
        <v>-18.9</v>
      </c>
      <c r="I42" t="n">
        <v>290000000</v>
      </c>
      <c r="J42" t="inlineStr"/>
      <c r="K42" t="inlineStr">
        <is>
          <t>待確認</t>
        </is>
      </c>
    </row>
    <row r="43">
      <c r="A43" t="inlineStr">
        <is>
          <t>01088</t>
        </is>
      </c>
      <c r="B43" t="inlineStr">
        <is>
          <t>2026-04-08</t>
        </is>
      </c>
      <c r="C43" t="inlineStr">
        <is>
          <t>Placing_GM</t>
        </is>
      </c>
      <c r="D43" t="inlineStr">
        <is>
          <t>4.58億</t>
        </is>
      </c>
      <c r="E43" t="n">
        <v>43.7</v>
      </c>
      <c r="F43" t="inlineStr"/>
      <c r="G43" t="n">
        <v>2.156</v>
      </c>
      <c r="H43" t="n">
        <v>-4.2</v>
      </c>
      <c r="I43" t="n">
        <v>20000000000</v>
      </c>
      <c r="J43" t="inlineStr"/>
      <c r="K43" t="inlineStr">
        <is>
          <t>待確認</t>
        </is>
      </c>
    </row>
    <row r="44">
      <c r="A44" t="inlineStr">
        <is>
          <t>00164</t>
        </is>
      </c>
      <c r="B44" t="inlineStr">
        <is>
          <t>2026-03-30</t>
        </is>
      </c>
      <c r="C44" t="inlineStr">
        <is>
          <t>Placing_GM</t>
        </is>
      </c>
      <c r="D44" t="inlineStr">
        <is>
          <t>3.84千萬</t>
        </is>
      </c>
      <c r="E44" t="n">
        <v>0.4</v>
      </c>
      <c r="F44" t="inlineStr"/>
      <c r="G44" t="n">
        <v>13.207</v>
      </c>
      <c r="H44" t="n">
        <v>-2.4</v>
      </c>
      <c r="I44" t="n">
        <v>15400000</v>
      </c>
      <c r="J44" t="inlineStr"/>
      <c r="K44" t="inlineStr">
        <is>
          <t>待確認</t>
        </is>
      </c>
    </row>
    <row r="45">
      <c r="A45" t="inlineStr">
        <is>
          <t>00005</t>
        </is>
      </c>
      <c r="B45" t="inlineStr">
        <is>
          <t>2026-03-18</t>
        </is>
      </c>
      <c r="C45" t="inlineStr">
        <is>
          <t>Placing_GM</t>
        </is>
      </c>
      <c r="D45" t="inlineStr">
        <is>
          <t>--</t>
        </is>
      </c>
      <c r="E45" t="inlineStr">
        <is>
          <t>--</t>
        </is>
      </c>
      <c r="F45" t="inlineStr"/>
      <c r="G45" t="inlineStr"/>
      <c r="H45" t="inlineStr"/>
      <c r="I45" t="n">
        <v>1250000000</v>
      </c>
      <c r="J45" t="inlineStr"/>
      <c r="K45" t="inlineStr">
        <is>
          <t>待確認</t>
        </is>
      </c>
    </row>
    <row r="46">
      <c r="A46" t="inlineStr">
        <is>
          <t>00005</t>
        </is>
      </c>
      <c r="B46" t="inlineStr">
        <is>
          <t>2026-03-18</t>
        </is>
      </c>
      <c r="C46" t="inlineStr">
        <is>
          <t>Placing_GM</t>
        </is>
      </c>
      <c r="D46" t="inlineStr">
        <is>
          <t>--</t>
        </is>
      </c>
      <c r="E46" t="inlineStr">
        <is>
          <t>--</t>
        </is>
      </c>
      <c r="F46" t="inlineStr"/>
      <c r="G46" t="inlineStr"/>
      <c r="H46" t="inlineStr"/>
      <c r="I46" t="n">
        <v>1250000000</v>
      </c>
      <c r="J46" t="inlineStr"/>
      <c r="K46" t="inlineStr">
        <is>
          <t>待確認</t>
        </is>
      </c>
    </row>
    <row r="47">
      <c r="A47" t="inlineStr">
        <is>
          <t>00724</t>
        </is>
      </c>
      <c r="B47" t="inlineStr">
        <is>
          <t>2026-03-11</t>
        </is>
      </c>
      <c r="C47" t="inlineStr">
        <is>
          <t>Placing_GM</t>
        </is>
      </c>
      <c r="D47" t="inlineStr">
        <is>
          <t>--</t>
        </is>
      </c>
      <c r="E47" t="inlineStr">
        <is>
          <t>--</t>
        </is>
      </c>
      <c r="F47" t="inlineStr"/>
      <c r="G47" t="inlineStr"/>
      <c r="H47" t="inlineStr"/>
      <c r="I47" t="n">
        <v>19000000</v>
      </c>
      <c r="J47" t="inlineStr"/>
      <c r="K47" t="inlineStr">
        <is>
          <t>待確認</t>
        </is>
      </c>
    </row>
    <row r="48">
      <c r="A48" t="inlineStr">
        <is>
          <t>02533</t>
        </is>
      </c>
      <c r="B48" t="inlineStr">
        <is>
          <t>2026-03-09</t>
        </is>
      </c>
      <c r="C48" t="inlineStr">
        <is>
          <t>Placing_GM</t>
        </is>
      </c>
      <c r="D48" t="inlineStr">
        <is>
          <t>3.35千萬</t>
        </is>
      </c>
      <c r="E48" t="n">
        <v>18.88</v>
      </c>
      <c r="F48" t="inlineStr"/>
      <c r="G48" t="n">
        <v>4.99</v>
      </c>
      <c r="H48" t="n">
        <v>-2.1</v>
      </c>
      <c r="I48" t="n">
        <v>633000000</v>
      </c>
      <c r="J48" t="inlineStr"/>
      <c r="K48" t="inlineStr">
        <is>
          <t>待確認</t>
        </is>
      </c>
    </row>
    <row r="49">
      <c r="A49" t="inlineStr">
        <is>
          <t>00866</t>
        </is>
      </c>
      <c r="B49" t="inlineStr">
        <is>
          <t>2026-03-05</t>
        </is>
      </c>
      <c r="C49" t="inlineStr">
        <is>
          <t>Placing_SM</t>
        </is>
      </c>
      <c r="D49" t="inlineStr">
        <is>
          <t>9.00千萬</t>
        </is>
      </c>
      <c r="E49" t="n">
        <v>3.51</v>
      </c>
      <c r="F49" t="inlineStr"/>
      <c r="G49" t="n">
        <v>3.547</v>
      </c>
      <c r="H49" t="n">
        <v>-9.5</v>
      </c>
      <c r="I49" t="n">
        <v>316000000</v>
      </c>
      <c r="J49" t="inlineStr"/>
      <c r="K49" t="inlineStr">
        <is>
          <t>待確認</t>
        </is>
      </c>
    </row>
    <row r="50">
      <c r="A50" t="inlineStr">
        <is>
          <t>08106</t>
        </is>
      </c>
      <c r="B50" t="inlineStr">
        <is>
          <t>2026-02-11</t>
        </is>
      </c>
      <c r="C50" t="inlineStr">
        <is>
          <t>Placing_GM</t>
        </is>
      </c>
      <c r="D50" t="inlineStr">
        <is>
          <t>5.23千萬</t>
        </is>
      </c>
      <c r="E50" t="n">
        <v>0.31</v>
      </c>
      <c r="F50" t="inlineStr"/>
      <c r="G50" t="n">
        <v>10.32</v>
      </c>
      <c r="H50" t="n">
        <v>0</v>
      </c>
      <c r="I50" t="n">
        <v>16200000</v>
      </c>
      <c r="J50" t="inlineStr"/>
      <c r="K50" t="inlineStr">
        <is>
          <t>待確認</t>
        </is>
      </c>
    </row>
    <row r="51">
      <c r="A51" t="inlineStr">
        <is>
          <t>08021</t>
        </is>
      </c>
      <c r="B51" t="inlineStr">
        <is>
          <t>2026-02-06</t>
        </is>
      </c>
      <c r="C51" t="inlineStr">
        <is>
          <t>Rights</t>
        </is>
      </c>
      <c r="D51" t="inlineStr">
        <is>
          <t>1.09億</t>
        </is>
      </c>
      <c r="E51" t="n">
        <v>0.24</v>
      </c>
      <c r="F51" t="inlineStr"/>
      <c r="G51" t="n">
        <v>30.41</v>
      </c>
      <c r="H51" t="n">
        <v>-40</v>
      </c>
      <c r="I51" t="n">
        <v>26200000</v>
      </c>
      <c r="J51" t="inlineStr"/>
      <c r="K51" t="inlineStr">
        <is>
          <t>待確認</t>
        </is>
      </c>
    </row>
    <row r="52">
      <c r="A52" t="inlineStr">
        <is>
          <t>01575</t>
        </is>
      </c>
      <c r="B52" t="inlineStr">
        <is>
          <t>2026-02-05</t>
        </is>
      </c>
      <c r="C52" t="inlineStr">
        <is>
          <t>Placing_GM</t>
        </is>
      </c>
      <c r="D52" t="inlineStr">
        <is>
          <t>5.60億</t>
        </is>
      </c>
      <c r="E52" t="n">
        <v>0.05</v>
      </c>
      <c r="F52" t="inlineStr"/>
      <c r="G52" t="n">
        <v>16.97</v>
      </c>
      <c r="H52" t="n">
        <v>0</v>
      </c>
      <c r="I52" t="n">
        <v>28000000</v>
      </c>
      <c r="J52" t="inlineStr"/>
      <c r="K52" t="inlineStr">
        <is>
          <t>待確認</t>
        </is>
      </c>
    </row>
    <row r="53">
      <c r="A53" t="inlineStr">
        <is>
          <t>01262</t>
        </is>
      </c>
      <c r="B53" t="inlineStr">
        <is>
          <t>2026-02-05</t>
        </is>
      </c>
      <c r="C53" t="inlineStr">
        <is>
          <t>Issue_GM_Debt</t>
        </is>
      </c>
      <c r="D53" t="inlineStr">
        <is>
          <t>2.08千萬</t>
        </is>
      </c>
      <c r="E53" t="n">
        <v>3.98</v>
      </c>
      <c r="F53" t="inlineStr"/>
      <c r="G53" t="n">
        <v>9.539</v>
      </c>
      <c r="H53" t="n">
        <v>-13.9</v>
      </c>
      <c r="I53" t="n">
        <v>82899999.99999999</v>
      </c>
      <c r="J53" t="inlineStr"/>
      <c r="K53" t="inlineStr">
        <is>
          <t>待確認</t>
        </is>
      </c>
    </row>
    <row r="54">
      <c r="A54" t="inlineStr">
        <is>
          <t>01050</t>
        </is>
      </c>
      <c r="B54" t="inlineStr">
        <is>
          <t>2026-01-29</t>
        </is>
      </c>
      <c r="C54" t="inlineStr">
        <is>
          <t>Placing_SM</t>
        </is>
      </c>
      <c r="D54" t="inlineStr">
        <is>
          <t>6.58千萬</t>
        </is>
      </c>
      <c r="E54" t="n">
        <v>2.37</v>
      </c>
      <c r="F54" t="inlineStr"/>
      <c r="G54" t="n">
        <v>3.257</v>
      </c>
      <c r="H54" t="n">
        <v>-9.5</v>
      </c>
      <c r="I54" t="n">
        <v>156000000</v>
      </c>
      <c r="J54" t="inlineStr"/>
      <c r="K54" t="inlineStr">
        <is>
          <t>待確認</t>
        </is>
      </c>
    </row>
    <row r="55">
      <c r="A55" t="inlineStr">
        <is>
          <t>03306</t>
        </is>
      </c>
      <c r="B55" t="inlineStr">
        <is>
          <t>2026-01-23</t>
        </is>
      </c>
      <c r="C55" t="inlineStr">
        <is>
          <t>Placing_GM</t>
        </is>
      </c>
      <c r="D55" t="inlineStr">
        <is>
          <t>1.45千萬</t>
        </is>
      </c>
      <c r="E55" t="n">
        <v>18.78</v>
      </c>
      <c r="F55" t="inlineStr"/>
      <c r="G55" t="n">
        <v>2.802</v>
      </c>
      <c r="H55" t="n">
        <v>-0.3</v>
      </c>
      <c r="I55" t="n">
        <v>273000000</v>
      </c>
      <c r="J55" t="inlineStr"/>
      <c r="K55" t="inlineStr">
        <is>
          <t>待確認</t>
        </is>
      </c>
    </row>
    <row r="56">
      <c r="A56" t="inlineStr">
        <is>
          <t>03788</t>
        </is>
      </c>
      <c r="B56" t="inlineStr">
        <is>
          <t>2026-01-22</t>
        </is>
      </c>
      <c r="C56" t="inlineStr">
        <is>
          <t>Placing_GM</t>
        </is>
      </c>
      <c r="D56" t="inlineStr">
        <is>
          <t>1.62億</t>
        </is>
      </c>
      <c r="E56" t="n">
        <v>3.8</v>
      </c>
      <c r="F56" t="inlineStr"/>
      <c r="G56" t="n">
        <v>7.963</v>
      </c>
      <c r="H56" t="n">
        <v>-24.8</v>
      </c>
      <c r="I56" t="n">
        <v>616000000</v>
      </c>
      <c r="J56" t="inlineStr"/>
      <c r="K56" t="inlineStr">
        <is>
          <t>待確認</t>
        </is>
      </c>
    </row>
    <row r="57">
      <c r="A57" t="inlineStr">
        <is>
          <t>03788</t>
        </is>
      </c>
      <c r="B57" t="inlineStr">
        <is>
          <t>2026-01-22</t>
        </is>
      </c>
      <c r="C57" t="inlineStr">
        <is>
          <t>Placing_GM</t>
        </is>
      </c>
      <c r="D57" t="inlineStr">
        <is>
          <t>4.40千萬</t>
        </is>
      </c>
      <c r="E57" t="n">
        <v>3.8</v>
      </c>
      <c r="F57" t="inlineStr"/>
      <c r="G57" t="n">
        <v>2.16</v>
      </c>
      <c r="H57" t="n">
        <v>-24.8</v>
      </c>
      <c r="I57" t="n">
        <v>167000000</v>
      </c>
      <c r="J57" t="inlineStr"/>
      <c r="K57" t="inlineStr">
        <is>
          <t>待確認</t>
        </is>
      </c>
    </row>
    <row r="58">
      <c r="A58" t="inlineStr">
        <is>
          <t>02865</t>
        </is>
      </c>
      <c r="B58" t="inlineStr">
        <is>
          <t>2026-01-21</t>
        </is>
      </c>
      <c r="C58" t="inlineStr">
        <is>
          <t>Placing_GM</t>
        </is>
      </c>
      <c r="D58" t="inlineStr">
        <is>
          <t>1.87千萬</t>
        </is>
      </c>
      <c r="E58" t="n">
        <v>22</v>
      </c>
      <c r="F58" t="inlineStr"/>
      <c r="G58" t="n">
        <v>6.423</v>
      </c>
      <c r="H58" t="n">
        <v>-1.1</v>
      </c>
      <c r="I58" t="n">
        <v>411000000.0000001</v>
      </c>
      <c r="J58" t="inlineStr"/>
      <c r="K58" t="inlineStr">
        <is>
          <t>待確認</t>
        </is>
      </c>
    </row>
    <row r="59">
      <c r="A59" t="inlineStr">
        <is>
          <t>03899</t>
        </is>
      </c>
      <c r="B59" t="inlineStr">
        <is>
          <t>2026-01-20</t>
        </is>
      </c>
      <c r="C59" t="inlineStr">
        <is>
          <t>Placing_GM</t>
        </is>
      </c>
      <c r="D59" t="inlineStr">
        <is>
          <t>7.97千萬</t>
        </is>
      </c>
      <c r="E59" t="n">
        <v>9.789999999999999</v>
      </c>
      <c r="F59" t="inlineStr"/>
      <c r="G59" t="n">
        <v>3.922</v>
      </c>
      <c r="H59" t="n">
        <v>-2</v>
      </c>
      <c r="I59" t="n">
        <v>780000000</v>
      </c>
      <c r="J59" t="inlineStr"/>
      <c r="K59" t="inlineStr">
        <is>
          <t>待確認</t>
        </is>
      </c>
    </row>
    <row r="60">
      <c r="A60" t="inlineStr">
        <is>
          <t>01792</t>
        </is>
      </c>
      <c r="B60" t="inlineStr">
        <is>
          <t>2026-01-19</t>
        </is>
      </c>
      <c r="C60" t="inlineStr">
        <is>
          <t>Placing_GM</t>
        </is>
      </c>
      <c r="D60" t="inlineStr">
        <is>
          <t>1.03千萬</t>
        </is>
      </c>
      <c r="E60" t="n">
        <v>0.95</v>
      </c>
      <c r="F60" t="inlineStr"/>
      <c r="G60" t="n">
        <v>20</v>
      </c>
      <c r="H60" t="n">
        <v>-1</v>
      </c>
      <c r="I60" t="n">
        <v>9800000</v>
      </c>
      <c r="J60" t="inlineStr"/>
      <c r="K60" t="inlineStr">
        <is>
          <t>待確認</t>
        </is>
      </c>
    </row>
    <row r="61">
      <c r="A61" t="inlineStr">
        <is>
          <t>09858</t>
        </is>
      </c>
      <c r="B61" t="inlineStr">
        <is>
          <t>2026-01-16</t>
        </is>
      </c>
      <c r="C61" t="inlineStr">
        <is>
          <t>Placing_SM</t>
        </is>
      </c>
      <c r="D61" t="inlineStr">
        <is>
          <t>2.99億</t>
        </is>
      </c>
      <c r="E61" t="n">
        <v>3.92</v>
      </c>
      <c r="F61" t="inlineStr"/>
      <c r="G61" t="n">
        <v>7.687</v>
      </c>
      <c r="H61" t="n">
        <v>-10.5</v>
      </c>
      <c r="I61" t="n">
        <v>1173000000</v>
      </c>
      <c r="J61" t="inlineStr"/>
      <c r="K61" t="inlineStr">
        <is>
          <t>待確認</t>
        </is>
      </c>
    </row>
    <row r="62">
      <c r="A62" t="inlineStr">
        <is>
          <t>00770</t>
        </is>
      </c>
      <c r="B62" t="inlineStr">
        <is>
          <t>2026-01-15</t>
        </is>
      </c>
      <c r="C62" t="inlineStr">
        <is>
          <t>Rights</t>
        </is>
      </c>
      <c r="D62" t="inlineStr">
        <is>
          <t>2.62百萬</t>
        </is>
      </c>
      <c r="E62" t="n">
        <v>0.12</v>
      </c>
      <c r="F62" t="inlineStr"/>
      <c r="G62" t="n">
        <v>20.441</v>
      </c>
      <c r="H62" t="n">
        <v>-52</v>
      </c>
      <c r="I62" t="n">
        <v>314500</v>
      </c>
      <c r="J62" t="inlineStr"/>
      <c r="K62" t="inlineStr">
        <is>
          <t>待確認</t>
        </is>
      </c>
    </row>
    <row r="63">
      <c r="A63" t="inlineStr">
        <is>
          <t>03759</t>
        </is>
      </c>
      <c r="B63" t="inlineStr">
        <is>
          <t>2026-01-15</t>
        </is>
      </c>
      <c r="C63" t="inlineStr">
        <is>
          <t>Placing_GM</t>
        </is>
      </c>
      <c r="D63" t="inlineStr">
        <is>
          <t>5.84千萬</t>
        </is>
      </c>
      <c r="E63" t="n">
        <v>22.82</v>
      </c>
      <c r="F63" t="inlineStr"/>
      <c r="G63" t="n">
        <v>3.3</v>
      </c>
      <c r="H63" t="n">
        <v>-4.3</v>
      </c>
      <c r="I63" t="n">
        <v>1334000000</v>
      </c>
      <c r="J63" t="inlineStr"/>
      <c r="K63" t="inlineStr">
        <is>
          <t>待確認</t>
        </is>
      </c>
    </row>
    <row r="64">
      <c r="A64" t="inlineStr">
        <is>
          <t>01519</t>
        </is>
      </c>
      <c r="B64" t="inlineStr">
        <is>
          <t>2026-01-15</t>
        </is>
      </c>
      <c r="C64" t="inlineStr">
        <is>
          <t>Issue_GM_Debt</t>
        </is>
      </c>
      <c r="D64" t="inlineStr">
        <is>
          <t>8.22億</t>
        </is>
      </c>
      <c r="E64" t="n">
        <v>10.1</v>
      </c>
      <c r="F64" t="inlineStr"/>
      <c r="G64" t="n">
        <v>9.234</v>
      </c>
      <c r="H64" t="n">
        <v>-14.6</v>
      </c>
      <c r="I64" t="n">
        <v>8298999999.999999</v>
      </c>
      <c r="J64" t="inlineStr"/>
      <c r="K64" t="inlineStr">
        <is>
          <t>待確認</t>
        </is>
      </c>
    </row>
    <row r="65">
      <c r="A65" t="inlineStr">
        <is>
          <t>03303</t>
        </is>
      </c>
      <c r="B65" t="inlineStr">
        <is>
          <t>2026-01-14</t>
        </is>
      </c>
      <c r="C65" t="inlineStr">
        <is>
          <t>Rights</t>
        </is>
      </c>
      <c r="D65" t="inlineStr">
        <is>
          <t>1.96億</t>
        </is>
      </c>
      <c r="E65" t="n">
        <v>0.16</v>
      </c>
      <c r="F65" t="inlineStr"/>
      <c r="G65" t="n">
        <v>9.17</v>
      </c>
      <c r="H65" t="n">
        <v>-66</v>
      </c>
      <c r="I65" t="n">
        <v>31300000</v>
      </c>
      <c r="J65" t="inlineStr"/>
      <c r="K65" t="inlineStr">
        <is>
          <t>待確認</t>
        </is>
      </c>
    </row>
    <row r="66">
      <c r="A66" t="inlineStr">
        <is>
          <t>09958</t>
        </is>
      </c>
      <c r="B66" t="inlineStr">
        <is>
          <t>2026-01-14</t>
        </is>
      </c>
      <c r="C66" t="inlineStr">
        <is>
          <t>Placing_GM</t>
        </is>
      </c>
      <c r="D66" t="inlineStr">
        <is>
          <t>7.20千萬</t>
        </is>
      </c>
      <c r="E66" t="n">
        <v>0.2</v>
      </c>
      <c r="F66" t="inlineStr"/>
      <c r="G66" t="n">
        <v>20</v>
      </c>
      <c r="H66" t="n">
        <v>0</v>
      </c>
      <c r="I66" t="n">
        <v>14400000</v>
      </c>
      <c r="J66" t="inlineStr"/>
      <c r="K66" t="inlineStr">
        <is>
          <t>待確認</t>
        </is>
      </c>
    </row>
    <row r="67">
      <c r="A67" t="inlineStr">
        <is>
          <t>01826</t>
        </is>
      </c>
      <c r="B67" t="inlineStr">
        <is>
          <t>2026-01-12</t>
        </is>
      </c>
      <c r="C67" t="inlineStr">
        <is>
          <t>Placing_GM</t>
        </is>
      </c>
      <c r="D67" t="inlineStr">
        <is>
          <t>2.66億</t>
        </is>
      </c>
      <c r="E67" t="n">
        <v>0.153</v>
      </c>
      <c r="F67" t="inlineStr"/>
      <c r="G67" t="n">
        <v>20</v>
      </c>
      <c r="H67" t="n">
        <v>-19.5</v>
      </c>
      <c r="I67" t="n">
        <v>40800000</v>
      </c>
      <c r="J67" t="inlineStr"/>
      <c r="K67" t="inlineStr">
        <is>
          <t>待確認</t>
        </is>
      </c>
    </row>
    <row r="68">
      <c r="A68" t="inlineStr">
        <is>
          <t>01693</t>
        </is>
      </c>
      <c r="B68" t="inlineStr">
        <is>
          <t>2026-01-12</t>
        </is>
      </c>
      <c r="C68" t="inlineStr">
        <is>
          <t>Placing_GM</t>
        </is>
      </c>
      <c r="D68" t="inlineStr">
        <is>
          <t>3.61百萬</t>
        </is>
      </c>
      <c r="E68" t="n">
        <v>2.2</v>
      </c>
      <c r="F68" t="inlineStr"/>
      <c r="G68" t="n">
        <v>9.118</v>
      </c>
      <c r="H68" t="n">
        <v>-2.2</v>
      </c>
      <c r="I68" t="n">
        <v>7940000</v>
      </c>
      <c r="J68" t="inlineStr"/>
      <c r="K68" t="inlineStr">
        <is>
          <t>待確認</t>
        </is>
      </c>
    </row>
    <row r="69">
      <c r="A69" t="inlineStr">
        <is>
          <t>01372</t>
        </is>
      </c>
      <c r="B69" t="inlineStr">
        <is>
          <t>2026-01-08</t>
        </is>
      </c>
      <c r="C69" t="inlineStr">
        <is>
          <t>Placing_GM</t>
        </is>
      </c>
      <c r="D69" t="inlineStr">
        <is>
          <t>3.20千萬</t>
        </is>
      </c>
      <c r="E69" t="n">
        <v>1.5</v>
      </c>
      <c r="F69" t="inlineStr"/>
      <c r="G69" t="n">
        <v>4.977</v>
      </c>
      <c r="H69" t="n">
        <v>-4.5</v>
      </c>
      <c r="I69" t="n">
        <v>48000000</v>
      </c>
      <c r="J69" t="inlineStr"/>
      <c r="K69" t="inlineStr">
        <is>
          <t>待確認</t>
        </is>
      </c>
    </row>
    <row r="70">
      <c r="A70" t="inlineStr">
        <is>
          <t>01776</t>
        </is>
      </c>
      <c r="B70" t="inlineStr">
        <is>
          <t>2026-01-07</t>
        </is>
      </c>
      <c r="C70" t="inlineStr">
        <is>
          <t>Placing_GM</t>
        </is>
      </c>
      <c r="D70" t="inlineStr">
        <is>
          <t>2.19億</t>
        </is>
      </c>
      <c r="E70" t="n">
        <v>18.15</v>
      </c>
      <c r="F70" t="inlineStr"/>
      <c r="G70" t="n">
        <v>2.879</v>
      </c>
      <c r="H70" t="n">
        <v>-4.5</v>
      </c>
      <c r="I70" t="n">
        <v>3975000000</v>
      </c>
      <c r="J70" t="inlineStr"/>
      <c r="K70" t="inlineStr">
        <is>
          <t>待確認</t>
        </is>
      </c>
    </row>
    <row r="71">
      <c r="A71" t="inlineStr">
        <is>
          <t>09863</t>
        </is>
      </c>
      <c r="B71" t="inlineStr">
        <is>
          <t>2026-01-06</t>
        </is>
      </c>
      <c r="C71" t="inlineStr">
        <is>
          <t>Placing_GM</t>
        </is>
      </c>
      <c r="D71" t="inlineStr">
        <is>
          <t>6.00千萬</t>
        </is>
      </c>
      <c r="E71" t="n">
        <v>50.03</v>
      </c>
      <c r="F71" t="inlineStr"/>
      <c r="G71" t="n">
        <v>4.217</v>
      </c>
      <c r="H71" t="n">
        <v>-0.9</v>
      </c>
      <c r="I71" t="n">
        <v>3000000000</v>
      </c>
      <c r="J71" t="inlineStr"/>
      <c r="K71" t="inlineStr">
        <is>
          <t>待確認</t>
        </is>
      </c>
    </row>
    <row r="72">
      <c r="A72" t="inlineStr">
        <is>
          <t>00943</t>
        </is>
      </c>
      <c r="B72" t="inlineStr">
        <is>
          <t>2026-01-02</t>
        </is>
      </c>
      <c r="C72" t="inlineStr">
        <is>
          <t>Issue_GM_Debt</t>
        </is>
      </c>
      <c r="D72" t="inlineStr">
        <is>
          <t>3.42億</t>
        </is>
      </c>
      <c r="E72" t="n">
        <v>0.183</v>
      </c>
      <c r="F72" t="inlineStr"/>
      <c r="G72" t="n">
        <v>19.893</v>
      </c>
      <c r="H72" t="n">
        <v>-8.5</v>
      </c>
      <c r="I72" t="n">
        <v>62500000</v>
      </c>
      <c r="J72" t="inlineStr"/>
      <c r="K72" t="inlineStr">
        <is>
          <t>待確認</t>
        </is>
      </c>
    </row>
    <row r="73">
      <c r="A73" t="inlineStr">
        <is>
          <t>00204</t>
        </is>
      </c>
      <c r="B73" t="inlineStr">
        <is>
          <t>2025-12-24</t>
        </is>
      </c>
      <c r="C73" t="inlineStr">
        <is>
          <t>Placing_GM</t>
        </is>
      </c>
      <c r="D73" t="inlineStr">
        <is>
          <t>4.15千萬</t>
        </is>
      </c>
      <c r="E73" t="n">
        <v>0.183</v>
      </c>
      <c r="F73" t="inlineStr"/>
      <c r="G73" t="n">
        <v>20</v>
      </c>
      <c r="H73" t="n">
        <v>-3.7</v>
      </c>
      <c r="I73" t="n">
        <v>7600000</v>
      </c>
      <c r="J73" t="inlineStr"/>
      <c r="K73" t="inlineStr">
        <is>
          <t>待確認</t>
        </is>
      </c>
    </row>
    <row r="74">
      <c r="A74" t="inlineStr">
        <is>
          <t>00340</t>
        </is>
      </c>
      <c r="B74" t="inlineStr">
        <is>
          <t>2025-12-19</t>
        </is>
      </c>
      <c r="C74" t="inlineStr">
        <is>
          <t>Issue_GM_Debt</t>
        </is>
      </c>
      <c r="D74" t="inlineStr">
        <is>
          <t>1.10億</t>
        </is>
      </c>
      <c r="E74" t="n">
        <v>2.6</v>
      </c>
      <c r="F74" t="inlineStr"/>
      <c r="G74" t="n">
        <v>2.116</v>
      </c>
      <c r="H74" t="n">
        <v>-5.5</v>
      </c>
      <c r="I74" t="n">
        <v>286000000</v>
      </c>
      <c r="J74" t="inlineStr"/>
      <c r="K74" t="inlineStr">
        <is>
          <t>待確認</t>
        </is>
      </c>
    </row>
    <row r="75">
      <c r="A75" t="inlineStr">
        <is>
          <t>00020</t>
        </is>
      </c>
      <c r="B75" t="inlineStr">
        <is>
          <t>2025-12-18</t>
        </is>
      </c>
      <c r="C75" t="inlineStr">
        <is>
          <t>Placing_GM</t>
        </is>
      </c>
      <c r="D75" t="inlineStr">
        <is>
          <t>17.50億</t>
        </is>
      </c>
      <c r="E75" t="n">
        <v>1.8</v>
      </c>
      <c r="F75" t="inlineStr"/>
      <c r="G75" t="n">
        <v>4.525</v>
      </c>
      <c r="H75" t="n">
        <v>-4.8</v>
      </c>
      <c r="I75" t="n">
        <v>3150000000</v>
      </c>
      <c r="J75" t="inlineStr"/>
      <c r="K75" t="inlineStr">
        <is>
          <t>待確認</t>
        </is>
      </c>
    </row>
    <row r="76">
      <c r="A76" t="inlineStr">
        <is>
          <t>00990</t>
        </is>
      </c>
      <c r="B76" t="inlineStr">
        <is>
          <t>2025-12-18</t>
        </is>
      </c>
      <c r="C76" t="inlineStr">
        <is>
          <t>Placing_GM</t>
        </is>
      </c>
      <c r="D76" t="inlineStr">
        <is>
          <t>5.15億</t>
        </is>
      </c>
      <c r="E76" t="n">
        <v>0.6899999999999999</v>
      </c>
      <c r="F76" t="inlineStr"/>
      <c r="G76" t="n">
        <v>3.605</v>
      </c>
      <c r="H76" t="n">
        <v>-1.4</v>
      </c>
      <c r="I76" t="n">
        <v>355000000</v>
      </c>
      <c r="J76" t="inlineStr"/>
      <c r="K76" t="inlineStr">
        <is>
          <t>待確認</t>
        </is>
      </c>
    </row>
    <row r="77">
      <c r="A77" t="inlineStr">
        <is>
          <t>00764</t>
        </is>
      </c>
      <c r="B77" t="inlineStr">
        <is>
          <t>2025-12-17</t>
        </is>
      </c>
      <c r="C77" t="inlineStr">
        <is>
          <t>Placing_GM</t>
        </is>
      </c>
      <c r="D77" t="inlineStr">
        <is>
          <t>2.00千萬</t>
        </is>
      </c>
      <c r="E77" t="n">
        <v>1</v>
      </c>
      <c r="F77" t="inlineStr"/>
      <c r="G77" t="n">
        <v>5.224</v>
      </c>
      <c r="H77" t="n">
        <v>0</v>
      </c>
      <c r="I77" t="n">
        <v>20000000</v>
      </c>
      <c r="J77" t="inlineStr"/>
      <c r="K77" t="inlineStr">
        <is>
          <t>待確認</t>
        </is>
      </c>
    </row>
    <row r="78">
      <c r="A78" t="inlineStr">
        <is>
          <t>00080</t>
        </is>
      </c>
      <c r="B78" t="inlineStr">
        <is>
          <t>2025-12-17</t>
        </is>
      </c>
      <c r="C78" t="inlineStr">
        <is>
          <t>Issue_GM_Debt</t>
        </is>
      </c>
      <c r="D78" t="inlineStr">
        <is>
          <t>1.99億</t>
        </is>
      </c>
      <c r="E78" t="n">
        <v>0.36</v>
      </c>
      <c r="F78" t="inlineStr"/>
      <c r="G78" t="n">
        <v>10.042</v>
      </c>
      <c r="H78" t="n">
        <v>-5.3</v>
      </c>
      <c r="I78" t="n">
        <v>71600000</v>
      </c>
      <c r="J78" t="inlineStr"/>
      <c r="K78" t="inlineStr">
        <is>
          <t>待確認</t>
        </is>
      </c>
    </row>
    <row r="79">
      <c r="A79" t="inlineStr">
        <is>
          <t>01870</t>
        </is>
      </c>
      <c r="B79" t="inlineStr">
        <is>
          <t>2025-12-09</t>
        </is>
      </c>
      <c r="C79" t="inlineStr">
        <is>
          <t>Placing_GM</t>
        </is>
      </c>
      <c r="D79" t="inlineStr">
        <is>
          <t>3.00千萬</t>
        </is>
      </c>
      <c r="E79" t="n">
        <v>0.55</v>
      </c>
      <c r="F79" t="inlineStr"/>
      <c r="G79" t="n">
        <v>3.039</v>
      </c>
      <c r="H79" t="n">
        <v>0</v>
      </c>
      <c r="I79" t="n">
        <v>16500000</v>
      </c>
      <c r="J79" t="inlineStr"/>
      <c r="K79" t="inlineStr">
        <is>
          <t>待確認</t>
        </is>
      </c>
    </row>
    <row r="80">
      <c r="A80" t="inlineStr">
        <is>
          <t>00174</t>
        </is>
      </c>
      <c r="B80" t="inlineStr">
        <is>
          <t>2026-06-05</t>
        </is>
      </c>
      <c r="C80" t="inlineStr">
        <is>
          <t>Placing_GM</t>
        </is>
      </c>
      <c r="D80" t="inlineStr">
        <is>
          <t>9.53千萬</t>
        </is>
      </c>
      <c r="E80" t="n">
        <v>0.18</v>
      </c>
      <c r="F80" t="inlineStr"/>
      <c r="G80" t="n">
        <v>15</v>
      </c>
      <c r="H80" t="n">
        <v>-5.3</v>
      </c>
      <c r="I80" t="n">
        <v>17200000</v>
      </c>
      <c r="J80" t="inlineStr"/>
      <c r="K80" t="inlineStr">
        <is>
          <t>進行中</t>
        </is>
      </c>
    </row>
    <row r="81">
      <c r="A81" t="inlineStr">
        <is>
          <t>01277</t>
        </is>
      </c>
      <c r="B81" t="inlineStr">
        <is>
          <t>2026-06-03</t>
        </is>
      </c>
      <c r="C81" t="inlineStr">
        <is>
          <t>Placing_GM</t>
        </is>
      </c>
      <c r="D81" t="inlineStr">
        <is>
          <t>1.70億</t>
        </is>
      </c>
      <c r="E81" t="n">
        <v>1.85</v>
      </c>
      <c r="F81" t="inlineStr"/>
      <c r="G81" t="n">
        <v>2.011</v>
      </c>
      <c r="H81" t="n">
        <v>-12.7</v>
      </c>
      <c r="I81" t="n">
        <v>314000000</v>
      </c>
      <c r="J81" t="inlineStr"/>
      <c r="K81" t="inlineStr">
        <is>
          <t>進行中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R31" sqref="R31"/>
    </sheetView>
  </sheetViews>
  <sheetFormatPr baseColWidth="8" defaultRowHeight="13.5"/>
  <cols>
    <col width="8.75" customWidth="1" min="1" max="1"/>
    <col width="45.75" customWidth="1" min="2" max="2"/>
    <col width="17.75" customWidth="1" min="3" max="3"/>
    <col width="15.75" customWidth="1" min="4" max="4"/>
    <col width="15.25" customWidth="1" min="5" max="5"/>
    <col width="12.75" customWidth="1" min="6" max="6"/>
    <col width="8.75" customWidth="1" min="7" max="7"/>
    <col width="13.75" customWidth="1" min="8" max="9"/>
    <col width="8.75" customWidth="1" min="10" max="11"/>
    <col width="16.75" customWidth="1" min="12" max="12"/>
    <col width="12.75" customWidth="1" min="13" max="14"/>
    <col width="13.75" customWidth="1" min="15" max="15"/>
    <col width="12.75" customWidth="1" min="16" max="18"/>
    <col width="8.75" customWidth="1" min="19" max="19"/>
    <col width="25.75" customWidth="1" min="20" max="20"/>
  </cols>
  <sheetData>
    <row r="1">
      <c r="A1" t="inlineStr">
        <is>
          <t>股票代號</t>
        </is>
      </c>
      <c r="B1" t="inlineStr">
        <is>
          <t>公告日期</t>
        </is>
      </c>
      <c r="C1" t="inlineStr">
        <is>
          <t>文件類型</t>
        </is>
      </c>
      <c r="D1" t="inlineStr">
        <is>
          <t>事件簡述</t>
        </is>
      </c>
      <c r="E1" t="inlineStr">
        <is>
          <t>HKEX_PDF連結</t>
        </is>
      </c>
      <c r="F1" t="inlineStr">
        <is>
          <t>新股數量</t>
        </is>
      </c>
      <c r="G1" t="inlineStr">
        <is>
          <t>發行價</t>
        </is>
      </c>
      <c r="H1" t="inlineStr">
        <is>
          <t>股本前</t>
        </is>
      </c>
      <c r="I1" t="inlineStr">
        <is>
          <t>股本後</t>
        </is>
      </c>
      <c r="J1" t="inlineStr">
        <is>
          <t>攤薄%</t>
        </is>
      </c>
      <c r="K1" t="inlineStr">
        <is>
          <t>折溢價%</t>
        </is>
      </c>
      <c r="L1" t="inlineStr">
        <is>
          <t>折溢價基準</t>
        </is>
      </c>
      <c r="M1" t="inlineStr">
        <is>
          <t>集資額毛</t>
        </is>
      </c>
      <c r="N1" t="inlineStr">
        <is>
          <t>集資額淨</t>
        </is>
      </c>
      <c r="O1" t="inlineStr">
        <is>
          <t>用途</t>
        </is>
      </c>
      <c r="P1" t="inlineStr">
        <is>
          <t>認購人／配售對象</t>
        </is>
      </c>
      <c r="Q1" t="inlineStr">
        <is>
          <t>完成日期</t>
        </is>
      </c>
      <c r="R1" t="inlineStr">
        <is>
          <t>股東會日期</t>
        </is>
      </c>
      <c r="S1" t="inlineStr">
        <is>
          <t>狀態</t>
        </is>
      </c>
      <c r="T1" t="inlineStr">
        <is>
          <t>備註</t>
        </is>
      </c>
    </row>
    <row r="2" ht="15" customHeight="1">
      <c r="A2" t="inlineStr">
        <is>
          <t>08547</t>
        </is>
      </c>
      <c r="B2" t="inlineStr">
        <is>
          <t>2025-12-10</t>
        </is>
      </c>
      <c r="C2" t="inlineStr">
        <is>
          <t>Placing_GM</t>
        </is>
      </c>
      <c r="D2" t="inlineStr">
        <is>
          <t>配售: 擴大資本基礎;償還債務</t>
        </is>
      </c>
      <c r="E2" s="1" t="inlineStr"/>
      <c r="F2" t="inlineStr">
        <is>
          <t>9.85千萬</t>
        </is>
      </c>
      <c r="G2" t="n">
        <v>0.118</v>
      </c>
      <c r="H2" t="inlineStr"/>
      <c r="I2" t="inlineStr"/>
      <c r="J2" t="n">
        <v>19.998</v>
      </c>
      <c r="K2" t="inlineStr">
        <is>
          <t>-1.7%</t>
        </is>
      </c>
      <c r="L2" t="inlineStr">
        <is>
          <t>市價</t>
        </is>
      </c>
      <c r="M2" t="n">
        <v>11600000</v>
      </c>
      <c r="N2" t="n">
        <v>11600000</v>
      </c>
      <c r="O2" t="inlineStr">
        <is>
          <t>擴大資本基礎;償還債務</t>
        </is>
      </c>
      <c r="P2" t="inlineStr"/>
      <c r="Q2" t="inlineStr"/>
      <c r="R2" t="inlineStr"/>
      <c r="S2" t="inlineStr">
        <is>
          <t>待確認</t>
        </is>
      </c>
      <c r="T2" t="inlineStr">
        <is>
          <t>🟢 跟! | 極窄折讓2%❗=超高信心 | 💰 清債=拆彈 | 🔄 模式A: 3輪發股洗名冊 | 3個月內密集發股=準備炒上</t>
        </is>
      </c>
    </row>
    <row r="3">
      <c r="A3" t="inlineStr">
        <is>
          <t>02431</t>
        </is>
      </c>
      <c r="B3" t="inlineStr">
        <is>
          <t>2026-05-29</t>
        </is>
      </c>
      <c r="C3" t="inlineStr">
        <is>
          <t>Issue_GM_Debt</t>
        </is>
      </c>
      <c r="D3" t="inlineStr">
        <is>
          <t>代價發行: 收購項目 購無人車智慧物流業務; 代價相等於2000萬元人民幣</t>
        </is>
      </c>
      <c r="E3" t="inlineStr"/>
      <c r="F3" t="inlineStr">
        <is>
          <t>2.34百萬</t>
        </is>
      </c>
      <c r="G3" t="n">
        <v>9.81</v>
      </c>
      <c r="H3" t="inlineStr"/>
      <c r="I3" t="inlineStr"/>
      <c r="J3" t="n">
        <v>0.5669999999999999</v>
      </c>
      <c r="K3" t="inlineStr">
        <is>
          <t>-0.8%</t>
        </is>
      </c>
      <c r="L3" t="inlineStr">
        <is>
          <t>市價</t>
        </is>
      </c>
      <c r="M3" t="n">
        <v>22900000</v>
      </c>
      <c r="N3" t="n">
        <v>22900000</v>
      </c>
      <c r="O3" t="inlineStr">
        <is>
          <t>收購項目 購無人車智慧物流業務; 代價相等於2000萬元人民幣</t>
        </is>
      </c>
      <c r="P3" t="inlineStr"/>
      <c r="Q3" t="inlineStr"/>
      <c r="R3" t="inlineStr"/>
      <c r="S3" t="inlineStr">
        <is>
          <t>進行中</t>
        </is>
      </c>
      <c r="T3" t="inlineStr">
        <is>
          <t>🟢 跟! | 🤝 發股收購 | 極窄折讓1%❗=超高信心</t>
        </is>
      </c>
    </row>
    <row r="4">
      <c r="A4" t="inlineStr">
        <is>
          <t>09678</t>
        </is>
      </c>
      <c r="B4" t="inlineStr">
        <is>
          <t>2026-05-28</t>
        </is>
      </c>
      <c r="C4" t="inlineStr">
        <is>
          <t>Placing_GM</t>
        </is>
      </c>
      <c r="D4" t="inlineStr">
        <is>
          <t>配售: 擴大資本基礎;業務發展</t>
        </is>
      </c>
      <c r="E4" t="inlineStr"/>
      <c r="F4" t="inlineStr">
        <is>
          <t>1.70百萬</t>
        </is>
      </c>
      <c r="G4" t="n">
        <v>228</v>
      </c>
      <c r="H4" t="inlineStr"/>
      <c r="I4" t="inlineStr"/>
      <c r="J4" t="n">
        <v>2.33</v>
      </c>
      <c r="K4" t="inlineStr">
        <is>
          <t>-12.7%</t>
        </is>
      </c>
      <c r="L4" t="inlineStr">
        <is>
          <t>市價</t>
        </is>
      </c>
      <c r="M4" t="n">
        <v>388000000</v>
      </c>
      <c r="N4" t="n">
        <v>388000000</v>
      </c>
      <c r="O4" t="inlineStr">
        <is>
          <t>擴大資本基礎;業務發展</t>
        </is>
      </c>
      <c r="P4" t="inlineStr"/>
      <c r="Q4" t="inlineStr"/>
      <c r="R4" t="inlineStr"/>
      <c r="S4" t="inlineStr">
        <is>
          <t>進行中</t>
        </is>
      </c>
      <c r="T4" t="inlineStr">
        <is>
          <t>🟢 跟! | 窄折讓13%=高信心接貨 | 📈 資金擴張 | 🔄 模式A: 3輪發股洗名冊 | 4個月內密集發股=準備炒上</t>
        </is>
      </c>
    </row>
    <row r="5">
      <c r="A5" t="inlineStr">
        <is>
          <t>02617</t>
        </is>
      </c>
      <c r="B5" t="inlineStr">
        <is>
          <t>2026-05-19</t>
        </is>
      </c>
      <c r="C5" t="inlineStr">
        <is>
          <t>Placing_GM</t>
        </is>
      </c>
      <c r="D5" t="inlineStr">
        <is>
          <t>配售: 擴大資本基礎;業務發展</t>
        </is>
      </c>
      <c r="E5" t="inlineStr"/>
      <c r="F5" t="inlineStr">
        <is>
          <t>3.84百萬</t>
        </is>
      </c>
      <c r="G5" t="n">
        <v>40.83</v>
      </c>
      <c r="H5" t="inlineStr"/>
      <c r="I5" t="inlineStr"/>
      <c r="J5" t="n">
        <v>0.949</v>
      </c>
      <c r="K5" t="inlineStr">
        <is>
          <t>-12.4%</t>
        </is>
      </c>
      <c r="L5" t="inlineStr">
        <is>
          <t>市價</t>
        </is>
      </c>
      <c r="M5" t="n">
        <v>157000000</v>
      </c>
      <c r="N5" t="n">
        <v>157000000</v>
      </c>
      <c r="O5" t="inlineStr">
        <is>
          <t>擴大資本基礎;業務發展</t>
        </is>
      </c>
      <c r="P5" t="inlineStr"/>
      <c r="Q5" t="inlineStr"/>
      <c r="R5" t="inlineStr"/>
      <c r="S5" t="inlineStr">
        <is>
          <t>進行中</t>
        </is>
      </c>
      <c r="T5" t="inlineStr">
        <is>
          <t>🟢 跟! | 窄折讓12%=高信心接貨 | 📈 資金擴張 | 🔄 模式A: 3輪發股洗名冊 | 4個月內密集發股=準備炒上</t>
        </is>
      </c>
    </row>
    <row r="6">
      <c r="A6" t="inlineStr">
        <is>
          <t>02473</t>
        </is>
      </c>
      <c r="B6" t="inlineStr">
        <is>
          <t>2026-05-13</t>
        </is>
      </c>
      <c r="C6" t="inlineStr">
        <is>
          <t>Placing_SM</t>
        </is>
      </c>
      <c r="D6" t="inlineStr">
        <is>
          <t>先舊後新: 業務發展</t>
        </is>
      </c>
      <c r="E6" t="inlineStr"/>
      <c r="F6" t="inlineStr">
        <is>
          <t>1.55億</t>
        </is>
      </c>
      <c r="G6" t="n">
        <v>0.82</v>
      </c>
      <c r="H6" t="inlineStr"/>
      <c r="I6" t="inlineStr"/>
      <c r="J6" t="n">
        <v>9.090999999999999</v>
      </c>
      <c r="K6" t="inlineStr">
        <is>
          <t>-2.4%</t>
        </is>
      </c>
      <c r="L6" t="inlineStr">
        <is>
          <t>市價</t>
        </is>
      </c>
      <c r="M6" t="n">
        <v>127000000</v>
      </c>
      <c r="N6" t="n">
        <v>127000000</v>
      </c>
      <c r="O6" t="inlineStr">
        <is>
          <t>業務發展</t>
        </is>
      </c>
      <c r="P6" t="inlineStr"/>
      <c r="Q6" t="inlineStr"/>
      <c r="R6" t="inlineStr"/>
      <c r="S6" t="inlineStr">
        <is>
          <t>進行中</t>
        </is>
      </c>
      <c r="T6" t="inlineStr">
        <is>
          <t>🟢 跟! | 🔄 先舊後新套利格局 | 極窄折讓2%❗=超高信心</t>
        </is>
      </c>
    </row>
    <row r="7">
      <c r="A7" t="inlineStr">
        <is>
          <t>00474</t>
        </is>
      </c>
      <c r="B7" t="inlineStr">
        <is>
          <t>2026-05-04</t>
        </is>
      </c>
      <c r="C7" t="inlineStr">
        <is>
          <t>Issue_GM_Debt</t>
        </is>
      </c>
      <c r="D7" t="inlineStr">
        <is>
          <t>代價發行: 收購項目 增持綜合金融服務</t>
        </is>
      </c>
      <c r="E7" t="inlineStr"/>
      <c r="F7" t="inlineStr">
        <is>
          <t>13.94億</t>
        </is>
      </c>
      <c r="G7" t="n">
        <v>0.12</v>
      </c>
      <c r="H7" t="inlineStr"/>
      <c r="I7" t="inlineStr"/>
      <c r="J7" t="n">
        <v>15.741</v>
      </c>
      <c r="K7" t="inlineStr">
        <is>
          <t>0.0%</t>
        </is>
      </c>
      <c r="L7" t="inlineStr">
        <is>
          <t>市價</t>
        </is>
      </c>
      <c r="M7" t="n">
        <v>167000000</v>
      </c>
      <c r="N7" t="n">
        <v>167000000</v>
      </c>
      <c r="O7" t="inlineStr">
        <is>
          <t>收購項目 增持綜合金融服務</t>
        </is>
      </c>
      <c r="P7" t="inlineStr"/>
      <c r="Q7" t="inlineStr"/>
      <c r="R7" t="inlineStr"/>
      <c r="S7" t="inlineStr">
        <is>
          <t>進行中</t>
        </is>
      </c>
      <c r="T7" t="inlineStr">
        <is>
          <t>🟢 跟! | 🤝 發股收購 | 極窄折讓0%❗=超高信心</t>
        </is>
      </c>
    </row>
    <row r="8">
      <c r="A8" t="inlineStr">
        <is>
          <t>01921</t>
        </is>
      </c>
      <c r="B8" t="inlineStr">
        <is>
          <t>2026-04-28</t>
        </is>
      </c>
      <c r="C8" t="inlineStr">
        <is>
          <t>Placing_SM</t>
        </is>
      </c>
      <c r="D8" t="inlineStr">
        <is>
          <t>先舊後新: 擴大資本基礎</t>
        </is>
      </c>
      <c r="E8" t="inlineStr"/>
      <c r="F8" t="inlineStr">
        <is>
          <t>7.43千萬</t>
        </is>
      </c>
      <c r="G8" t="n">
        <v>5.28</v>
      </c>
      <c r="H8" t="inlineStr"/>
      <c r="I8" t="inlineStr"/>
      <c r="J8" t="n">
        <v>4.927</v>
      </c>
      <c r="K8" t="inlineStr">
        <is>
          <t>-0.4%</t>
        </is>
      </c>
      <c r="L8" t="inlineStr">
        <is>
          <t>市價</t>
        </is>
      </c>
      <c r="M8" t="n">
        <v>392000000</v>
      </c>
      <c r="N8" t="n">
        <v>392000000</v>
      </c>
      <c r="O8" t="inlineStr">
        <is>
          <t>擴大資本基礎</t>
        </is>
      </c>
      <c r="P8" t="inlineStr"/>
      <c r="Q8" t="inlineStr"/>
      <c r="R8" t="inlineStr"/>
      <c r="S8" t="inlineStr">
        <is>
          <t>待確認</t>
        </is>
      </c>
      <c r="T8" t="inlineStr">
        <is>
          <t>🟢 跟! | 🔄 先舊後新套利格局 | 極窄折讓0%❗=超高信心</t>
        </is>
      </c>
    </row>
    <row r="9">
      <c r="A9" t="inlineStr">
        <is>
          <t>03330</t>
        </is>
      </c>
      <c r="B9" t="inlineStr">
        <is>
          <t>2026-04-14</t>
        </is>
      </c>
      <c r="C9" t="inlineStr">
        <is>
          <t>Placing_SM</t>
        </is>
      </c>
      <c r="D9" t="inlineStr">
        <is>
          <t>先舊後新: 擴大資本基礎;業務發展</t>
        </is>
      </c>
      <c r="E9" t="inlineStr"/>
      <c r="F9" t="inlineStr">
        <is>
          <t>2.98千萬</t>
        </is>
      </c>
      <c r="G9" t="n">
        <v>26.16</v>
      </c>
      <c r="H9" t="inlineStr"/>
      <c r="I9" t="inlineStr"/>
      <c r="J9" t="n">
        <v>2.205</v>
      </c>
      <c r="K9" t="inlineStr">
        <is>
          <t>-1.4%</t>
        </is>
      </c>
      <c r="L9" t="inlineStr">
        <is>
          <t>市價</t>
        </is>
      </c>
      <c r="M9" t="n">
        <v>780000000</v>
      </c>
      <c r="N9" t="n">
        <v>780000000</v>
      </c>
      <c r="O9" t="inlineStr">
        <is>
          <t>擴大資本基礎;業務發展</t>
        </is>
      </c>
      <c r="P9" t="inlineStr"/>
      <c r="Q9" t="inlineStr"/>
      <c r="R9" t="inlineStr"/>
      <c r="S9" t="inlineStr">
        <is>
          <t>待確認</t>
        </is>
      </c>
      <c r="T9" t="inlineStr">
        <is>
          <t>🟢 跟! | 🔄 先舊後新套利格局 | 極窄折讓1%❗=超高信心</t>
        </is>
      </c>
    </row>
    <row r="10">
      <c r="A10" t="inlineStr">
        <is>
          <t>08299</t>
        </is>
      </c>
      <c r="B10" t="inlineStr">
        <is>
          <t>2026-03-30</t>
        </is>
      </c>
      <c r="C10" t="inlineStr">
        <is>
          <t>Issue_GM_Debt</t>
        </is>
      </c>
      <c r="D10" t="inlineStr">
        <is>
          <t>代價發行: 收購項目 購黃金及相關礦物之勘探及開採業務</t>
        </is>
      </c>
      <c r="E10" t="inlineStr"/>
      <c r="F10" t="inlineStr">
        <is>
          <t>6.76億</t>
        </is>
      </c>
      <c r="G10" t="n">
        <v>0.5</v>
      </c>
      <c r="H10" t="inlineStr"/>
      <c r="I10" t="inlineStr"/>
      <c r="J10" t="n">
        <v>7.984</v>
      </c>
      <c r="K10" t="inlineStr">
        <is>
          <t>-2.0%</t>
        </is>
      </c>
      <c r="L10" t="inlineStr">
        <is>
          <t>市價</t>
        </is>
      </c>
      <c r="M10" t="n">
        <v>338000000</v>
      </c>
      <c r="N10" t="n">
        <v>338000000</v>
      </c>
      <c r="O10" t="inlineStr">
        <is>
          <t>收購項目 購黃金及相關礦物之勘探及開採業務</t>
        </is>
      </c>
      <c r="P10" t="inlineStr"/>
      <c r="Q10" t="inlineStr"/>
      <c r="R10" t="inlineStr"/>
      <c r="S10" t="inlineStr">
        <is>
          <t>待確認</t>
        </is>
      </c>
      <c r="T10" t="inlineStr">
        <is>
          <t>🟢 跟! | 🤝 發股收購 | 極窄折讓2%❗=超高信心</t>
        </is>
      </c>
    </row>
    <row r="11">
      <c r="A11" t="inlineStr">
        <is>
          <t>01030</t>
        </is>
      </c>
      <c r="B11" t="inlineStr">
        <is>
          <t>2026-02-05</t>
        </is>
      </c>
      <c r="C11" t="inlineStr">
        <is>
          <t>Placing_SM</t>
        </is>
      </c>
      <c r="D11" t="inlineStr">
        <is>
          <t>先舊後新: 擴大資本基礎;業務發展;償還債務</t>
        </is>
      </c>
      <c r="E11" t="inlineStr"/>
      <c r="F11" t="inlineStr">
        <is>
          <t>1.98億</t>
        </is>
      </c>
      <c r="G11" t="n">
        <v>2.39</v>
      </c>
      <c r="H11" t="inlineStr"/>
      <c r="I11" t="inlineStr"/>
      <c r="J11" t="n">
        <v>2.802</v>
      </c>
      <c r="K11" t="inlineStr">
        <is>
          <t>-2.0%</t>
        </is>
      </c>
      <c r="L11" t="inlineStr">
        <is>
          <t>市價</t>
        </is>
      </c>
      <c r="M11" t="n">
        <v>473000000.0000001</v>
      </c>
      <c r="N11" t="n">
        <v>473000000.0000001</v>
      </c>
      <c r="O11" t="inlineStr">
        <is>
          <t>擴大資本基礎;業務發展;償還債務</t>
        </is>
      </c>
      <c r="P11" t="inlineStr"/>
      <c r="Q11" t="inlineStr"/>
      <c r="R11" t="inlineStr"/>
      <c r="S11" t="inlineStr">
        <is>
          <t>待確認</t>
        </is>
      </c>
      <c r="T11" t="inlineStr">
        <is>
          <t>🟢 跟! | 🔄 先舊後新套利格局 | 極窄折讓2%❗=超高信心</t>
        </is>
      </c>
    </row>
    <row r="12">
      <c r="A12" t="inlineStr">
        <is>
          <t>09678</t>
        </is>
      </c>
      <c r="B12" t="inlineStr">
        <is>
          <t>2026-02-03</t>
        </is>
      </c>
      <c r="C12" t="inlineStr">
        <is>
          <t>Placing_GM</t>
        </is>
      </c>
      <c r="D12" t="inlineStr">
        <is>
          <t>配售: 業務發展</t>
        </is>
      </c>
      <c r="E12" t="inlineStr"/>
      <c r="F12" t="inlineStr">
        <is>
          <t>1.01百萬</t>
        </is>
      </c>
      <c r="G12" t="n">
        <v>310</v>
      </c>
      <c r="H12" t="inlineStr"/>
      <c r="I12" t="inlineStr"/>
      <c r="J12" t="n">
        <v>1.401</v>
      </c>
      <c r="K12" t="inlineStr">
        <is>
          <t>-12.0%</t>
        </is>
      </c>
      <c r="L12" t="inlineStr">
        <is>
          <t>市價</t>
        </is>
      </c>
      <c r="M12" t="n">
        <v>312000000</v>
      </c>
      <c r="N12" t="n">
        <v>312000000</v>
      </c>
      <c r="O12" t="inlineStr">
        <is>
          <t>業務發展</t>
        </is>
      </c>
      <c r="P12" t="inlineStr"/>
      <c r="Q12" t="inlineStr"/>
      <c r="R12" t="inlineStr"/>
      <c r="S12" t="inlineStr">
        <is>
          <t>待確認</t>
        </is>
      </c>
      <c r="T12" t="inlineStr">
        <is>
          <t>🟢 跟! | 窄折讓12%=高信心接貨 | 📈 資金擴張 | 🔄 模式A: 3輪發股洗名冊 | 4個月內密集發股=準備炒上</t>
        </is>
      </c>
    </row>
    <row r="13">
      <c r="A13" t="inlineStr">
        <is>
          <t>00474</t>
        </is>
      </c>
      <c r="B13" t="inlineStr">
        <is>
          <t>2026-01-30</t>
        </is>
      </c>
      <c r="C13" t="inlineStr">
        <is>
          <t>Issue_GM_Debt</t>
        </is>
      </c>
      <c r="D13" t="inlineStr">
        <is>
          <t>代價發行: 收購項目 購綜合金融服務業務</t>
        </is>
      </c>
      <c r="E13" t="inlineStr"/>
      <c r="F13" t="inlineStr">
        <is>
          <t>14.76億</t>
        </is>
      </c>
      <c r="G13" t="n">
        <v>0.12</v>
      </c>
      <c r="H13" t="inlineStr"/>
      <c r="I13" t="inlineStr"/>
      <c r="J13" t="n">
        <v>20</v>
      </c>
      <c r="K13" t="inlineStr">
        <is>
          <t>0.0%</t>
        </is>
      </c>
      <c r="L13" t="inlineStr">
        <is>
          <t>市價</t>
        </is>
      </c>
      <c r="M13" t="n">
        <v>177000000</v>
      </c>
      <c r="N13" t="n">
        <v>177000000</v>
      </c>
      <c r="O13" t="inlineStr">
        <is>
          <t>收購項目 購綜合金融服務業務</t>
        </is>
      </c>
      <c r="P13" t="inlineStr"/>
      <c r="Q13" t="inlineStr"/>
      <c r="R13" t="inlineStr"/>
      <c r="S13" t="inlineStr">
        <is>
          <t>待確認</t>
        </is>
      </c>
      <c r="T13" t="inlineStr">
        <is>
          <t>🟢 跟! | 🤝 發股收購 | 極窄折讓0%❗=超高信心</t>
        </is>
      </c>
    </row>
    <row r="14">
      <c r="A14" t="inlineStr">
        <is>
          <t>06681</t>
        </is>
      </c>
      <c r="B14" t="inlineStr">
        <is>
          <t>2026-01-23</t>
        </is>
      </c>
      <c r="C14" t="inlineStr">
        <is>
          <t>Placing_SM</t>
        </is>
      </c>
      <c r="D14" t="inlineStr">
        <is>
          <t>先舊後新: 擴大資本基礎;業務發展</t>
        </is>
      </c>
      <c r="E14" t="inlineStr"/>
      <c r="F14" t="inlineStr">
        <is>
          <t>9.20千萬</t>
        </is>
      </c>
      <c r="G14" t="n">
        <v>5.6</v>
      </c>
      <c r="H14" t="inlineStr"/>
      <c r="I14" t="inlineStr"/>
      <c r="J14" t="n">
        <v>7.265</v>
      </c>
      <c r="K14" t="inlineStr">
        <is>
          <t>-3.3%</t>
        </is>
      </c>
      <c r="L14" t="inlineStr">
        <is>
          <t>市價</t>
        </is>
      </c>
      <c r="M14" t="n">
        <v>515000000.0000001</v>
      </c>
      <c r="N14" t="n">
        <v>515000000.0000001</v>
      </c>
      <c r="O14" t="inlineStr">
        <is>
          <t>擴大資本基礎;業務發展</t>
        </is>
      </c>
      <c r="P14" t="inlineStr"/>
      <c r="Q14" t="inlineStr"/>
      <c r="R14" t="inlineStr"/>
      <c r="S14" t="inlineStr">
        <is>
          <t>待確認</t>
        </is>
      </c>
      <c r="T14" t="inlineStr">
        <is>
          <t>🟢 跟! | 🔄 先舊後新套利格局 | 極窄折讓3%❗=超高信心</t>
        </is>
      </c>
    </row>
    <row r="15">
      <c r="A15" t="inlineStr">
        <is>
          <t>09678</t>
        </is>
      </c>
      <c r="B15" t="inlineStr">
        <is>
          <t>2026-01-16</t>
        </is>
      </c>
      <c r="C15" t="inlineStr">
        <is>
          <t>Placing_GM</t>
        </is>
      </c>
      <c r="D15" t="inlineStr">
        <is>
          <t>配售: 擴大資本基礎;業務發展</t>
        </is>
      </c>
      <c r="E15" t="inlineStr"/>
      <c r="F15" t="inlineStr">
        <is>
          <t>78.00萬</t>
        </is>
      </c>
      <c r="G15" t="n">
        <v>252</v>
      </c>
      <c r="H15" t="inlineStr"/>
      <c r="I15" t="inlineStr"/>
      <c r="J15" t="n">
        <v>1.096</v>
      </c>
      <c r="K15" t="inlineStr">
        <is>
          <t>-10.1%</t>
        </is>
      </c>
      <c r="L15" t="inlineStr">
        <is>
          <t>市價</t>
        </is>
      </c>
      <c r="M15" t="n">
        <v>197000000</v>
      </c>
      <c r="N15" t="n">
        <v>197000000</v>
      </c>
      <c r="O15" t="inlineStr">
        <is>
          <t>擴大資本基礎;業務發展</t>
        </is>
      </c>
      <c r="P15" t="inlineStr"/>
      <c r="Q15" t="inlineStr"/>
      <c r="R15" t="inlineStr"/>
      <c r="S15" t="inlineStr">
        <is>
          <t>待確認</t>
        </is>
      </c>
      <c r="T15" t="inlineStr">
        <is>
          <t>🟢 跟! | 窄折讓10%=高信心接貨 | 📈 資金擴張 | 🔄 模式A: 3輪發股洗名冊 | 4個月內密集發股=準備炒上</t>
        </is>
      </c>
    </row>
    <row r="16">
      <c r="A16" t="inlineStr">
        <is>
          <t>02617</t>
        </is>
      </c>
      <c r="B16" t="inlineStr">
        <is>
          <t>2026-01-14</t>
        </is>
      </c>
      <c r="C16" t="inlineStr">
        <is>
          <t>Placing_GM</t>
        </is>
      </c>
      <c r="D16" t="inlineStr">
        <is>
          <t>配售: 擴大資本基礎;業務發展</t>
        </is>
      </c>
      <c r="E16" t="inlineStr"/>
      <c r="F16" t="inlineStr">
        <is>
          <t>2.10百萬</t>
        </is>
      </c>
      <c r="G16" t="n">
        <v>92.84999999999999</v>
      </c>
      <c r="H16" t="inlineStr"/>
      <c r="I16" t="inlineStr"/>
      <c r="J16" t="n">
        <v>0.529</v>
      </c>
      <c r="K16" t="inlineStr">
        <is>
          <t>-7.2%</t>
        </is>
      </c>
      <c r="L16" t="inlineStr">
        <is>
          <t>市價</t>
        </is>
      </c>
      <c r="M16" t="n">
        <v>195000000</v>
      </c>
      <c r="N16" t="n">
        <v>195000000</v>
      </c>
      <c r="O16" t="inlineStr">
        <is>
          <t>擴大資本基礎;業務發展</t>
        </is>
      </c>
      <c r="P16" t="inlineStr"/>
      <c r="Q16" t="inlineStr"/>
      <c r="R16" t="inlineStr"/>
      <c r="S16" t="inlineStr">
        <is>
          <t>待確認</t>
        </is>
      </c>
      <c r="T16" t="inlineStr">
        <is>
          <t>🟢 跟! | 窄折讓7%=高信心接貨 | 📈 資金擴張 | 🔄 模式A: 3輪發股洗名冊 | 4個月內密集發股=準備炒上</t>
        </is>
      </c>
    </row>
    <row r="17">
      <c r="A17" t="inlineStr">
        <is>
          <t>01177</t>
        </is>
      </c>
      <c r="B17" t="inlineStr">
        <is>
          <t>2026-01-13</t>
        </is>
      </c>
      <c r="C17" t="inlineStr">
        <is>
          <t>Issue_GM_Debt</t>
        </is>
      </c>
      <c r="D17" t="inlineStr">
        <is>
          <t>代價發行: 收購項目 購小干擾核酸(siRNA</t>
        </is>
      </c>
      <c r="E17" t="inlineStr"/>
      <c r="F17" t="inlineStr">
        <is>
          <t>1.46千萬</t>
        </is>
      </c>
      <c r="G17" t="n">
        <v>6.66</v>
      </c>
      <c r="H17" t="inlineStr"/>
      <c r="I17" t="inlineStr"/>
      <c r="J17" t="n">
        <v>0.078</v>
      </c>
      <c r="K17" t="inlineStr">
        <is>
          <t>-3.6%</t>
        </is>
      </c>
      <c r="L17" t="inlineStr">
        <is>
          <t>市價</t>
        </is>
      </c>
      <c r="M17" t="n">
        <v>97200000</v>
      </c>
      <c r="N17" t="n">
        <v>97200000</v>
      </c>
      <c r="O17" t="inlineStr">
        <is>
          <t>收購項目 購小干擾核酸(siRNA</t>
        </is>
      </c>
      <c r="P17" t="inlineStr"/>
      <c r="Q17" t="inlineStr"/>
      <c r="R17" t="inlineStr"/>
      <c r="S17" t="inlineStr">
        <is>
          <t>待確認</t>
        </is>
      </c>
      <c r="T17" t="inlineStr">
        <is>
          <t>🟢 跟! | 🤝 發股收購 | 極窄折讓4%❗=超高信心</t>
        </is>
      </c>
    </row>
    <row r="18">
      <c r="A18" t="inlineStr">
        <is>
          <t>01327</t>
        </is>
      </c>
      <c r="B18" t="inlineStr">
        <is>
          <t>2026-06-04</t>
        </is>
      </c>
      <c r="C18" t="inlineStr">
        <is>
          <t>Placing_GM</t>
        </is>
      </c>
      <c r="D18" t="inlineStr">
        <is>
          <t>配售: 擴大資本基礎;償還債務</t>
        </is>
      </c>
      <c r="E18" t="inlineStr"/>
      <c r="F18" t="inlineStr">
        <is>
          <t>4.31千萬</t>
        </is>
      </c>
      <c r="G18" t="n">
        <v>0.5</v>
      </c>
      <c r="H18" t="inlineStr"/>
      <c r="I18" t="inlineStr"/>
      <c r="J18" t="n">
        <v>20</v>
      </c>
      <c r="K18" t="inlineStr">
        <is>
          <t>0.0%</t>
        </is>
      </c>
      <c r="L18" t="inlineStr">
        <is>
          <t>市價</t>
        </is>
      </c>
      <c r="M18" t="n">
        <v>21600000</v>
      </c>
      <c r="N18" t="n">
        <v>21600000</v>
      </c>
      <c r="O18" t="inlineStr">
        <is>
          <t>擴大資本基礎;償還債務</t>
        </is>
      </c>
      <c r="P18" t="inlineStr"/>
      <c r="Q18" t="inlineStr"/>
      <c r="R18" t="inlineStr"/>
      <c r="S18" t="inlineStr">
        <is>
          <t>進行中</t>
        </is>
      </c>
      <c r="T18" t="inlineStr">
        <is>
          <t>🟢 跟! | 極窄折讓0%❗=超高信心 | 💰 清債=拆彈</t>
        </is>
      </c>
    </row>
    <row r="19">
      <c r="A19" t="inlineStr">
        <is>
          <t>09936</t>
        </is>
      </c>
      <c r="B19" t="inlineStr">
        <is>
          <t>2026-06-03</t>
        </is>
      </c>
      <c r="C19" t="inlineStr">
        <is>
          <t>Placing_SM</t>
        </is>
      </c>
      <c r="D19" t="inlineStr">
        <is>
          <t>先舊後新: 擴大資本基礎;業務發展</t>
        </is>
      </c>
      <c r="E19" t="inlineStr"/>
      <c r="F19" t="inlineStr">
        <is>
          <t>3.41千萬</t>
        </is>
      </c>
      <c r="G19" t="n">
        <v>16.1</v>
      </c>
      <c r="H19" t="inlineStr"/>
      <c r="I19" t="inlineStr"/>
      <c r="J19" t="n">
        <v>8.974</v>
      </c>
      <c r="K19" t="inlineStr">
        <is>
          <t>-10.3%</t>
        </is>
      </c>
      <c r="L19" t="inlineStr">
        <is>
          <t>市價</t>
        </is>
      </c>
      <c r="M19" t="n">
        <v>549000000</v>
      </c>
      <c r="N19" t="n">
        <v>549000000</v>
      </c>
      <c r="O19" t="inlineStr">
        <is>
          <t>擴大資本基礎;業務發展</t>
        </is>
      </c>
      <c r="P19" t="inlineStr"/>
      <c r="Q19" t="inlineStr"/>
      <c r="R19" t="inlineStr"/>
      <c r="S19" t="inlineStr">
        <is>
          <t>進行中</t>
        </is>
      </c>
      <c r="T19" t="inlineStr">
        <is>
          <t>🟢 跟! | 🔄 先舊後新套利格局 | 窄折讓10%=高信心接貨</t>
        </is>
      </c>
    </row>
    <row r="20">
      <c r="A20" t="inlineStr">
        <is>
          <t>08031</t>
        </is>
      </c>
      <c r="B20" t="inlineStr">
        <is>
          <t>2026-06-01</t>
        </is>
      </c>
      <c r="C20" t="inlineStr">
        <is>
          <t>Placing_GM</t>
        </is>
      </c>
      <c r="D20" t="inlineStr">
        <is>
          <t>配售: 擴大資本基礎;業務發展</t>
        </is>
      </c>
      <c r="E20" t="inlineStr"/>
      <c r="F20" t="inlineStr">
        <is>
          <t>5.91千萬</t>
        </is>
      </c>
      <c r="G20" t="n">
        <v>0.298</v>
      </c>
      <c r="H20" t="inlineStr"/>
      <c r="I20" t="inlineStr"/>
      <c r="J20" t="n">
        <v>19.998</v>
      </c>
      <c r="K20" t="inlineStr">
        <is>
          <t>-3.9%</t>
        </is>
      </c>
      <c r="L20" t="inlineStr">
        <is>
          <t>市價</t>
        </is>
      </c>
      <c r="M20" t="n">
        <v>17600000</v>
      </c>
      <c r="N20" t="n">
        <v>17600000</v>
      </c>
      <c r="O20" t="inlineStr">
        <is>
          <t>擴大資本基礎;業務發展</t>
        </is>
      </c>
      <c r="P20" t="inlineStr"/>
      <c r="Q20" t="inlineStr"/>
      <c r="R20" t="inlineStr"/>
      <c r="S20" t="inlineStr">
        <is>
          <t>進行中</t>
        </is>
      </c>
      <c r="T20" t="inlineStr">
        <is>
          <t>🟢 跟! | 極窄折讓4%❗=超高信心 | 📈 資金擴張</t>
        </is>
      </c>
    </row>
    <row r="21">
      <c r="A21" t="inlineStr">
        <is>
          <t>09689</t>
        </is>
      </c>
      <c r="B21" t="inlineStr">
        <is>
          <t>2026-05-29</t>
        </is>
      </c>
      <c r="C21" t="inlineStr">
        <is>
          <t>Placing_GM</t>
        </is>
      </c>
      <c r="D21" t="inlineStr">
        <is>
          <t>配售: 擴大資本基礎;業務發展</t>
        </is>
      </c>
      <c r="E21" t="inlineStr"/>
      <c r="F21" t="inlineStr">
        <is>
          <t>1.86億</t>
        </is>
      </c>
      <c r="G21" t="n">
        <v>0.694</v>
      </c>
      <c r="H21" t="inlineStr"/>
      <c r="I21" t="inlineStr"/>
      <c r="J21" t="n">
        <v>20</v>
      </c>
      <c r="K21" t="inlineStr">
        <is>
          <t>-0.9%</t>
        </is>
      </c>
      <c r="L21" t="inlineStr">
        <is>
          <t>市價</t>
        </is>
      </c>
      <c r="M21" t="n">
        <v>129000000</v>
      </c>
      <c r="N21" t="n">
        <v>129000000</v>
      </c>
      <c r="O21" t="inlineStr">
        <is>
          <t>擴大資本基礎;業務發展</t>
        </is>
      </c>
      <c r="P21" t="inlineStr"/>
      <c r="Q21" t="inlineStr"/>
      <c r="R21" t="inlineStr"/>
      <c r="S21" t="inlineStr">
        <is>
          <t>進行中</t>
        </is>
      </c>
      <c r="T21" t="inlineStr">
        <is>
          <t>🟢 跟! | 極窄折讓1%❗=超高信心 | 📈 資金擴張</t>
        </is>
      </c>
    </row>
    <row r="22">
      <c r="A22" t="inlineStr">
        <is>
          <t>01286</t>
        </is>
      </c>
      <c r="B22" t="inlineStr">
        <is>
          <t>2026-05-27</t>
        </is>
      </c>
      <c r="C22" t="inlineStr">
        <is>
          <t>Placing_SM</t>
        </is>
      </c>
      <c r="D22" t="inlineStr">
        <is>
          <t>先舊後新: 擴大資本基礎;償還債務</t>
        </is>
      </c>
      <c r="E22" t="inlineStr"/>
      <c r="F22" t="inlineStr">
        <is>
          <t>6.00千萬</t>
        </is>
      </c>
      <c r="G22" t="n">
        <v>9.1</v>
      </c>
      <c r="H22" t="inlineStr"/>
      <c r="I22" t="inlineStr"/>
      <c r="J22" t="n">
        <v>3.179</v>
      </c>
      <c r="K22" t="inlineStr">
        <is>
          <t>-8.6%</t>
        </is>
      </c>
      <c r="L22" t="inlineStr">
        <is>
          <t>市價</t>
        </is>
      </c>
      <c r="M22" t="n">
        <v>546000000</v>
      </c>
      <c r="N22" t="n">
        <v>546000000</v>
      </c>
      <c r="O22" t="inlineStr">
        <is>
          <t>擴大資本基礎;償還債務</t>
        </is>
      </c>
      <c r="P22" t="inlineStr"/>
      <c r="Q22" t="inlineStr"/>
      <c r="R22" t="inlineStr"/>
      <c r="S22" t="inlineStr">
        <is>
          <t>進行中</t>
        </is>
      </c>
      <c r="T22" t="inlineStr">
        <is>
          <t>🟢 跟! | 🔄 先舊後新套利格局 | 窄折讓9%=高信心接貨</t>
        </is>
      </c>
    </row>
    <row r="23">
      <c r="A23" t="inlineStr">
        <is>
          <t>01679</t>
        </is>
      </c>
      <c r="B23" t="inlineStr">
        <is>
          <t>2026-05-27</t>
        </is>
      </c>
      <c r="C23" t="inlineStr">
        <is>
          <t>Placing_GM</t>
        </is>
      </c>
      <c r="D23" t="inlineStr">
        <is>
          <t>配售: 償還債務</t>
        </is>
      </c>
      <c r="E23" t="inlineStr"/>
      <c r="F23" t="inlineStr">
        <is>
          <t>8.59千萬</t>
        </is>
      </c>
      <c r="G23" t="n">
        <v>0.46</v>
      </c>
      <c r="H23" t="inlineStr"/>
      <c r="I23" t="inlineStr"/>
      <c r="J23" t="n">
        <v>39.789</v>
      </c>
      <c r="K23" t="inlineStr">
        <is>
          <t>-11.5%</t>
        </is>
      </c>
      <c r="L23" t="inlineStr">
        <is>
          <t>市價</t>
        </is>
      </c>
      <c r="M23" t="n">
        <v>39500000</v>
      </c>
      <c r="N23" t="n">
        <v>39500000</v>
      </c>
      <c r="O23" t="inlineStr">
        <is>
          <t>償還債務</t>
        </is>
      </c>
      <c r="P23" t="inlineStr"/>
      <c r="Q23" t="inlineStr"/>
      <c r="R23" t="inlineStr"/>
      <c r="S23" t="inlineStr">
        <is>
          <t>進行中</t>
        </is>
      </c>
      <c r="T23" t="inlineStr">
        <is>
          <t>🟢 跟! | 窄折讓12%=高信心接貨 | 💰 清債=拆彈 | 🔄 模式A: 3輪發股洗名冊 | 0個月內密集發股=準備炒上</t>
        </is>
      </c>
    </row>
    <row r="24">
      <c r="A24" t="inlineStr">
        <is>
          <t>01384</t>
        </is>
      </c>
      <c r="B24" t="inlineStr">
        <is>
          <t>2026-05-21</t>
        </is>
      </c>
      <c r="C24" t="inlineStr">
        <is>
          <t>Placing_GM</t>
        </is>
      </c>
      <c r="D24" t="inlineStr">
        <is>
          <t>配售: 擴大資本基礎;業務發展</t>
        </is>
      </c>
      <c r="E24" t="inlineStr"/>
      <c r="F24" t="inlineStr">
        <is>
          <t>7.94百萬</t>
        </is>
      </c>
      <c r="G24" t="n">
        <v>50.58</v>
      </c>
      <c r="H24" t="inlineStr"/>
      <c r="I24" t="inlineStr"/>
      <c r="J24" t="n">
        <v>2.431</v>
      </c>
      <c r="K24" t="inlineStr">
        <is>
          <t>-3.3%</t>
        </is>
      </c>
      <c r="L24" t="inlineStr">
        <is>
          <t>市價</t>
        </is>
      </c>
      <c r="M24" t="n">
        <v>401999999.9999999</v>
      </c>
      <c r="N24" t="n">
        <v>401999999.9999999</v>
      </c>
      <c r="O24" t="inlineStr">
        <is>
          <t>擴大資本基礎;業務發展</t>
        </is>
      </c>
      <c r="P24" t="inlineStr"/>
      <c r="Q24" t="inlineStr"/>
      <c r="R24" t="inlineStr"/>
      <c r="S24" t="inlineStr">
        <is>
          <t>進行中</t>
        </is>
      </c>
      <c r="T24" t="inlineStr">
        <is>
          <t>🟢 跟! | 極窄折讓3%❗=超高信心 | 📈 資金擴張</t>
        </is>
      </c>
    </row>
    <row r="25">
      <c r="A25" t="inlineStr">
        <is>
          <t>02495</t>
        </is>
      </c>
      <c r="B25" t="inlineStr">
        <is>
          <t>2026-05-20</t>
        </is>
      </c>
      <c r="C25" t="inlineStr">
        <is>
          <t>Placing_GM</t>
        </is>
      </c>
      <c r="D25" t="inlineStr">
        <is>
          <t>配售: 擴大資本基礎;業務發展</t>
        </is>
      </c>
      <c r="E25" t="inlineStr"/>
      <c r="F25" t="inlineStr">
        <is>
          <t>2.20百萬</t>
        </is>
      </c>
      <c r="G25" t="n">
        <v>46.3</v>
      </c>
      <c r="H25" t="inlineStr"/>
      <c r="I25" t="inlineStr"/>
      <c r="J25" t="n">
        <v>5.543</v>
      </c>
      <c r="K25" t="inlineStr">
        <is>
          <t>-2.3%</t>
        </is>
      </c>
      <c r="L25" t="inlineStr">
        <is>
          <t>市價</t>
        </is>
      </c>
      <c r="M25" t="n">
        <v>102000000</v>
      </c>
      <c r="N25" t="n">
        <v>102000000</v>
      </c>
      <c r="O25" t="inlineStr">
        <is>
          <t>擴大資本基礎;業務發展</t>
        </is>
      </c>
      <c r="P25" t="inlineStr"/>
      <c r="Q25" t="inlineStr"/>
      <c r="R25" t="inlineStr"/>
      <c r="S25" t="inlineStr">
        <is>
          <t>進行中</t>
        </is>
      </c>
      <c r="T25" t="inlineStr">
        <is>
          <t>🟢 跟! | 極窄折讓2%❗=超高信心 | 📈 資金擴張</t>
        </is>
      </c>
    </row>
    <row r="26">
      <c r="A26" t="inlineStr">
        <is>
          <t>08196</t>
        </is>
      </c>
      <c r="B26" t="inlineStr">
        <is>
          <t>2026-05-19</t>
        </is>
      </c>
      <c r="C26" t="inlineStr">
        <is>
          <t>Placing_GM</t>
        </is>
      </c>
      <c r="D26" t="inlineStr">
        <is>
          <t>配售: 擴大資本基礎;業務發展</t>
        </is>
      </c>
      <c r="E26" t="inlineStr"/>
      <c r="F26" t="inlineStr">
        <is>
          <t>1.06千萬</t>
        </is>
      </c>
      <c r="G26" t="n">
        <v>0.85</v>
      </c>
      <c r="H26" t="inlineStr"/>
      <c r="I26" t="inlineStr"/>
      <c r="J26" t="n">
        <v>20</v>
      </c>
      <c r="K26" t="inlineStr">
        <is>
          <t>0.0%</t>
        </is>
      </c>
      <c r="L26" t="inlineStr">
        <is>
          <t>市價</t>
        </is>
      </c>
      <c r="M26" t="n">
        <v>9010000</v>
      </c>
      <c r="N26" t="n">
        <v>9010000</v>
      </c>
      <c r="O26" t="inlineStr">
        <is>
          <t>擴大資本基礎;業務發展</t>
        </is>
      </c>
      <c r="P26" t="inlineStr"/>
      <c r="Q26" t="inlineStr"/>
      <c r="R26" t="inlineStr"/>
      <c r="S26" t="inlineStr">
        <is>
          <t>進行中</t>
        </is>
      </c>
      <c r="T26" t="inlineStr">
        <is>
          <t>🟢 跟! | 極窄折讓0%❗=超高信心 | 📈 資金擴張</t>
        </is>
      </c>
    </row>
    <row r="27">
      <c r="A27" t="inlineStr">
        <is>
          <t>01003</t>
        </is>
      </c>
      <c r="B27" t="inlineStr">
        <is>
          <t>2026-05-19</t>
        </is>
      </c>
      <c r="C27" t="inlineStr">
        <is>
          <t>Placing_GM</t>
        </is>
      </c>
      <c r="D27" t="inlineStr">
        <is>
          <t>配售: 擴大資本基礎;業務發展 配予範式智能(06682</t>
        </is>
      </c>
      <c r="E27" t="inlineStr"/>
      <c r="F27" t="inlineStr">
        <is>
          <t>7.31億</t>
        </is>
      </c>
      <c r="G27" t="n">
        <v>0.275</v>
      </c>
      <c r="H27" t="inlineStr"/>
      <c r="I27" t="inlineStr"/>
      <c r="J27" t="n">
        <v>16.681</v>
      </c>
      <c r="K27" t="inlineStr">
        <is>
          <t>-1.8%</t>
        </is>
      </c>
      <c r="L27" t="inlineStr">
        <is>
          <t>市價</t>
        </is>
      </c>
      <c r="M27" t="n">
        <v>201000000</v>
      </c>
      <c r="N27" t="n">
        <v>201000000</v>
      </c>
      <c r="O27" t="inlineStr">
        <is>
          <t>擴大資本基礎;業務發展 配予範式智能(06682</t>
        </is>
      </c>
      <c r="P27" t="inlineStr"/>
      <c r="Q27" t="inlineStr"/>
      <c r="R27" t="inlineStr"/>
      <c r="S27" t="inlineStr">
        <is>
          <t>進行中</t>
        </is>
      </c>
      <c r="T27" t="inlineStr">
        <is>
          <t>🟢 跟! | 極窄折讓2%❗=超高信心 | 📈 資金擴張</t>
        </is>
      </c>
    </row>
    <row r="28">
      <c r="A28" t="inlineStr">
        <is>
          <t>02556</t>
        </is>
      </c>
      <c r="B28" t="inlineStr">
        <is>
          <t>2026-05-15</t>
        </is>
      </c>
      <c r="C28" t="inlineStr">
        <is>
          <t>Placing_GM</t>
        </is>
      </c>
      <c r="D28" t="inlineStr">
        <is>
          <t>配售: 業務發展</t>
        </is>
      </c>
      <c r="E28" t="inlineStr"/>
      <c r="F28" t="inlineStr">
        <is>
          <t>1.23千萬</t>
        </is>
      </c>
      <c r="G28" t="n">
        <v>40.54</v>
      </c>
      <c r="H28" t="inlineStr"/>
      <c r="I28" t="inlineStr"/>
      <c r="J28" t="n">
        <v>4.829</v>
      </c>
      <c r="K28" t="inlineStr">
        <is>
          <t>0.0%</t>
        </is>
      </c>
      <c r="L28" t="inlineStr">
        <is>
          <t>市價</t>
        </is>
      </c>
      <c r="M28" t="n">
        <v>500000000</v>
      </c>
      <c r="N28" t="n">
        <v>500000000</v>
      </c>
      <c r="O28" t="inlineStr">
        <is>
          <t>業務發展</t>
        </is>
      </c>
      <c r="P28" t="inlineStr"/>
      <c r="Q28" t="inlineStr"/>
      <c r="R28" t="inlineStr"/>
      <c r="S28" t="inlineStr">
        <is>
          <t>進行中</t>
        </is>
      </c>
      <c r="T28" t="inlineStr">
        <is>
          <t>🟢 跟! | 極窄折讓0%❗=超高信心 | 📈 資金擴張</t>
        </is>
      </c>
    </row>
    <row r="29">
      <c r="A29" t="inlineStr">
        <is>
          <t>01729</t>
        </is>
      </c>
      <c r="B29" t="inlineStr">
        <is>
          <t>2026-05-12</t>
        </is>
      </c>
      <c r="C29" t="inlineStr">
        <is>
          <t>Placing_GM</t>
        </is>
      </c>
      <c r="D29" t="inlineStr">
        <is>
          <t>配售: 擴大資本基礎;業務發展;償還債務</t>
        </is>
      </c>
      <c r="E29" t="inlineStr"/>
      <c r="F29" t="inlineStr">
        <is>
          <t>1.38億</t>
        </is>
      </c>
      <c r="G29" t="n">
        <v>21</v>
      </c>
      <c r="H29" t="inlineStr"/>
      <c r="I29" t="inlineStr"/>
      <c r="J29" t="n">
        <v>6.596</v>
      </c>
      <c r="K29" t="inlineStr">
        <is>
          <t>-3.9%</t>
        </is>
      </c>
      <c r="L29" t="inlineStr">
        <is>
          <t>市價</t>
        </is>
      </c>
      <c r="M29" t="n">
        <v>2900000000</v>
      </c>
      <c r="N29" t="n">
        <v>2900000000</v>
      </c>
      <c r="O29" t="inlineStr">
        <is>
          <t>擴大資本基礎;業務發展;償還債務</t>
        </is>
      </c>
      <c r="P29" t="inlineStr"/>
      <c r="Q29" t="inlineStr"/>
      <c r="R29" t="inlineStr"/>
      <c r="S29" t="inlineStr">
        <is>
          <t>進行中</t>
        </is>
      </c>
      <c r="T29" t="inlineStr">
        <is>
          <t>🟢 跟! | 極窄折讓4%❗=超高信心 | 💰 清債=拆彈 | 📈 資金擴張</t>
        </is>
      </c>
    </row>
    <row r="30">
      <c r="A30" t="inlineStr">
        <is>
          <t>00005</t>
        </is>
      </c>
      <c r="B30" t="inlineStr">
        <is>
          <t>2026-05-12</t>
        </is>
      </c>
      <c r="C30" t="inlineStr">
        <is>
          <t>Placing_GM</t>
        </is>
      </c>
      <c r="D30" t="inlineStr">
        <is>
          <t>配售: 擴大資本基礎 發行永久後償或有可轉換證券;2033年5月18日前六個月至證券重設日止期間贖回</t>
        </is>
      </c>
      <c r="E30" t="inlineStr"/>
      <c r="F30" t="inlineStr">
        <is>
          <t>--</t>
        </is>
      </c>
      <c r="G30" t="inlineStr">
        <is>
          <t>--</t>
        </is>
      </c>
      <c r="H30" t="inlineStr"/>
      <c r="I30" t="inlineStr"/>
      <c r="J30" t="inlineStr"/>
      <c r="K30" t="inlineStr"/>
      <c r="L30" t="inlineStr">
        <is>
          <t>市價</t>
        </is>
      </c>
      <c r="M30" t="n">
        <v>1500000000</v>
      </c>
      <c r="N30" t="n">
        <v>1500000000</v>
      </c>
      <c r="O30" t="inlineStr">
        <is>
          <t>擴大資本基礎 發行永久後償或有可轉換證券;2033年5月18日前六個月至證券重設日止期間贖回</t>
        </is>
      </c>
      <c r="P30" t="inlineStr"/>
      <c r="Q30" t="inlineStr"/>
      <c r="R30" t="inlineStr"/>
      <c r="S30" t="inlineStr">
        <is>
          <t>進行中</t>
        </is>
      </c>
      <c r="T30" t="inlineStr">
        <is>
          <t>🟢 跟! | 🔮 CB=日後換股有托價誘因 | 🔄 模式A: 3輪發股洗名冊 | 2個月內密集發股=準備炒上</t>
        </is>
      </c>
    </row>
    <row r="31">
      <c r="A31" t="inlineStr">
        <is>
          <t>01568</t>
        </is>
      </c>
      <c r="B31" t="inlineStr">
        <is>
          <t>2026-05-05</t>
        </is>
      </c>
      <c r="C31" t="inlineStr">
        <is>
          <t>Placing_GM</t>
        </is>
      </c>
      <c r="D31" t="inlineStr">
        <is>
          <t>配售: 擴大資本基礎</t>
        </is>
      </c>
      <c r="E31" t="inlineStr"/>
      <c r="F31" t="inlineStr">
        <is>
          <t>2.20千萬</t>
        </is>
      </c>
      <c r="G31" t="n">
        <v>0.66</v>
      </c>
      <c r="H31" t="inlineStr"/>
      <c r="I31" t="inlineStr"/>
      <c r="J31" t="n">
        <v>1.019</v>
      </c>
      <c r="K31" t="inlineStr">
        <is>
          <t>-4.3%</t>
        </is>
      </c>
      <c r="L31" t="inlineStr">
        <is>
          <t>市價</t>
        </is>
      </c>
      <c r="M31" t="n">
        <v>14500000</v>
      </c>
      <c r="N31" t="n">
        <v>14500000</v>
      </c>
      <c r="O31" t="inlineStr">
        <is>
          <t>擴大資本基礎</t>
        </is>
      </c>
      <c r="P31" t="inlineStr"/>
      <c r="Q31" t="inlineStr"/>
      <c r="R31" t="inlineStr"/>
      <c r="S31" t="inlineStr">
        <is>
          <t>進行中</t>
        </is>
      </c>
      <c r="T31" t="inlineStr">
        <is>
          <t>🟢 跟! | 極窄折讓4%❗=超高信心</t>
        </is>
      </c>
    </row>
    <row r="32">
      <c r="A32" t="inlineStr">
        <is>
          <t>08471</t>
        </is>
      </c>
      <c r="B32" t="inlineStr">
        <is>
          <t>2026-05-05</t>
        </is>
      </c>
      <c r="C32" t="inlineStr">
        <is>
          <t>Placing_GM</t>
        </is>
      </c>
      <c r="D32" t="inlineStr">
        <is>
          <t>配售: 擴大資本基礎;業務發展</t>
        </is>
      </c>
      <c r="E32" t="inlineStr"/>
      <c r="F32" t="inlineStr">
        <is>
          <t>2.45億</t>
        </is>
      </c>
      <c r="G32" t="n">
        <v>0.02</v>
      </c>
      <c r="H32" t="inlineStr"/>
      <c r="I32" t="inlineStr"/>
      <c r="J32" t="n">
        <v>20</v>
      </c>
      <c r="K32" t="inlineStr">
        <is>
          <t>0.0%</t>
        </is>
      </c>
      <c r="L32" t="inlineStr">
        <is>
          <t>市價</t>
        </is>
      </c>
      <c r="M32" t="n">
        <v>4900000</v>
      </c>
      <c r="N32" t="n">
        <v>4900000</v>
      </c>
      <c r="O32" t="inlineStr">
        <is>
          <t>擴大資本基礎;業務發展</t>
        </is>
      </c>
      <c r="P32" t="inlineStr"/>
      <c r="Q32" t="inlineStr"/>
      <c r="R32" t="inlineStr"/>
      <c r="S32" t="inlineStr">
        <is>
          <t>進行中</t>
        </is>
      </c>
      <c r="T32" t="inlineStr">
        <is>
          <t>🟢 跟! | 極窄折讓0%❗=超高信心 | 📈 資金擴張</t>
        </is>
      </c>
    </row>
    <row r="33">
      <c r="A33" t="inlineStr">
        <is>
          <t>03750</t>
        </is>
      </c>
      <c r="B33" t="inlineStr">
        <is>
          <t>2026-04-28</t>
        </is>
      </c>
      <c r="C33" t="inlineStr">
        <is>
          <t>Placing_GM</t>
        </is>
      </c>
      <c r="D33" t="inlineStr">
        <is>
          <t>配售: 擴大資本基礎;業務發展</t>
        </is>
      </c>
      <c r="E33" t="inlineStr"/>
      <c r="F33" t="inlineStr">
        <is>
          <t>6.24千萬</t>
        </is>
      </c>
      <c r="G33" t="n">
        <v>628.2</v>
      </c>
      <c r="H33" t="inlineStr"/>
      <c r="I33" t="inlineStr"/>
      <c r="J33" t="n">
        <v>1.367</v>
      </c>
      <c r="K33" t="inlineStr">
        <is>
          <t>-0.1%</t>
        </is>
      </c>
      <c r="L33" t="inlineStr">
        <is>
          <t>市價</t>
        </is>
      </c>
      <c r="M33" t="n">
        <v>39190000000</v>
      </c>
      <c r="N33" t="n">
        <v>39190000000</v>
      </c>
      <c r="O33" t="inlineStr">
        <is>
          <t>擴大資本基礎;業務發展</t>
        </is>
      </c>
      <c r="P33" t="inlineStr"/>
      <c r="Q33" t="inlineStr"/>
      <c r="R33" t="inlineStr"/>
      <c r="S33" t="inlineStr">
        <is>
          <t>待確認</t>
        </is>
      </c>
      <c r="T33" t="inlineStr">
        <is>
          <t>🟢 跟! | 極窄折讓0%❗=超高信心 | 📈 資金擴張</t>
        </is>
      </c>
    </row>
    <row r="34">
      <c r="A34" t="inlineStr">
        <is>
          <t>00472</t>
        </is>
      </c>
      <c r="B34" t="inlineStr">
        <is>
          <t>2026-04-28</t>
        </is>
      </c>
      <c r="C34" t="inlineStr">
        <is>
          <t>Placing_GM</t>
        </is>
      </c>
      <c r="D34" t="inlineStr">
        <is>
          <t>配售: 擴大資本基礎;業務發展</t>
        </is>
      </c>
      <c r="E34" t="inlineStr"/>
      <c r="F34" t="inlineStr">
        <is>
          <t>6.42億</t>
        </is>
      </c>
      <c r="G34" t="n">
        <v>0.215</v>
      </c>
      <c r="H34" t="inlineStr"/>
      <c r="I34" t="inlineStr"/>
      <c r="J34" t="n">
        <v>20</v>
      </c>
      <c r="K34" t="inlineStr">
        <is>
          <t>-2.3%</t>
        </is>
      </c>
      <c r="L34" t="inlineStr">
        <is>
          <t>市價</t>
        </is>
      </c>
      <c r="M34" t="n">
        <v>138000000</v>
      </c>
      <c r="N34" t="n">
        <v>138000000</v>
      </c>
      <c r="O34" t="inlineStr">
        <is>
          <t>擴大資本基礎;業務發展</t>
        </is>
      </c>
      <c r="P34" t="inlineStr"/>
      <c r="Q34" t="inlineStr"/>
      <c r="R34" t="inlineStr"/>
      <c r="S34" t="inlineStr">
        <is>
          <t>待確認</t>
        </is>
      </c>
      <c r="T34" t="inlineStr">
        <is>
          <t>🟢 跟! | 極窄折讓2%❗=超高信心 | 📈 資金擴張</t>
        </is>
      </c>
    </row>
    <row r="35">
      <c r="A35" t="inlineStr">
        <is>
          <t>01380</t>
        </is>
      </c>
      <c r="B35" t="inlineStr">
        <is>
          <t>2026-04-24</t>
        </is>
      </c>
      <c r="C35" t="inlineStr">
        <is>
          <t>Placing_GM</t>
        </is>
      </c>
      <c r="D35" t="inlineStr">
        <is>
          <t>配售: 擴大資本基礎;業務發展</t>
        </is>
      </c>
      <c r="E35" t="inlineStr"/>
      <c r="F35" t="inlineStr">
        <is>
          <t>1.59千萬</t>
        </is>
      </c>
      <c r="G35" t="n">
        <v>0.57</v>
      </c>
      <c r="H35" t="inlineStr"/>
      <c r="I35" t="inlineStr"/>
      <c r="J35" t="n">
        <v>3.169</v>
      </c>
      <c r="K35" t="inlineStr">
        <is>
          <t>0.0%</t>
        </is>
      </c>
      <c r="L35" t="inlineStr">
        <is>
          <t>市價</t>
        </is>
      </c>
      <c r="M35" t="n">
        <v>9050000</v>
      </c>
      <c r="N35" t="n">
        <v>9050000</v>
      </c>
      <c r="O35" t="inlineStr">
        <is>
          <t>擴大資本基礎;業務發展</t>
        </is>
      </c>
      <c r="P35" t="inlineStr"/>
      <c r="Q35" t="inlineStr"/>
      <c r="R35" t="inlineStr"/>
      <c r="S35" t="inlineStr">
        <is>
          <t>待確認</t>
        </is>
      </c>
      <c r="T35" t="inlineStr">
        <is>
          <t>🟢 跟! | 極窄折讓0%❗=超高信心 | 📈 資金擴張</t>
        </is>
      </c>
    </row>
    <row r="36">
      <c r="A36" t="inlineStr">
        <is>
          <t>08320</t>
        </is>
      </c>
      <c r="B36" t="inlineStr">
        <is>
          <t>2026-04-22</t>
        </is>
      </c>
      <c r="C36" t="inlineStr">
        <is>
          <t>Placing_GM</t>
        </is>
      </c>
      <c r="D36" t="inlineStr">
        <is>
          <t>配售: 擴大資本基礎;業務發展;償還債務</t>
        </is>
      </c>
      <c r="E36" t="inlineStr"/>
      <c r="F36" t="inlineStr">
        <is>
          <t>1.47億</t>
        </is>
      </c>
      <c r="G36" t="n">
        <v>0.1</v>
      </c>
      <c r="H36" t="inlineStr"/>
      <c r="I36" t="inlineStr"/>
      <c r="J36" t="n">
        <v>19.883</v>
      </c>
      <c r="K36" t="inlineStr">
        <is>
          <t>0.0%</t>
        </is>
      </c>
      <c r="L36" t="inlineStr">
        <is>
          <t>市價</t>
        </is>
      </c>
      <c r="M36" t="n">
        <v>14700000</v>
      </c>
      <c r="N36" t="n">
        <v>14700000</v>
      </c>
      <c r="O36" t="inlineStr">
        <is>
          <t>擴大資本基礎;業務發展;償還債務</t>
        </is>
      </c>
      <c r="P36" t="inlineStr"/>
      <c r="Q36" t="inlineStr"/>
      <c r="R36" t="inlineStr"/>
      <c r="S36" t="inlineStr">
        <is>
          <t>待確認</t>
        </is>
      </c>
      <c r="T36" t="inlineStr">
        <is>
          <t>🟢 跟! | 極窄折讓0%❗=超高信心 | 💰 清債=拆彈 | 📈 資金擴張</t>
        </is>
      </c>
    </row>
    <row r="37">
      <c r="A37" t="inlineStr">
        <is>
          <t>00451</t>
        </is>
      </c>
      <c r="B37" t="inlineStr">
        <is>
          <t>2026-04-20</t>
        </is>
      </c>
      <c r="C37" t="inlineStr">
        <is>
          <t>Placing_GM</t>
        </is>
      </c>
      <c r="D37" t="inlineStr">
        <is>
          <t>配售: 擴大資本基礎;業務發展;償還債務</t>
        </is>
      </c>
      <c r="E37" t="inlineStr"/>
      <c r="F37" t="inlineStr">
        <is>
          <t>1.27億</t>
        </is>
      </c>
      <c r="G37" t="n">
        <v>1.05</v>
      </c>
      <c r="H37" t="inlineStr"/>
      <c r="I37" t="inlineStr"/>
      <c r="J37" t="n">
        <v>8.170999999999999</v>
      </c>
      <c r="K37" t="inlineStr">
        <is>
          <t>0.0%</t>
        </is>
      </c>
      <c r="L37" t="inlineStr">
        <is>
          <t>市價</t>
        </is>
      </c>
      <c r="M37" t="n">
        <v>133000000</v>
      </c>
      <c r="N37" t="n">
        <v>133000000</v>
      </c>
      <c r="O37" t="inlineStr">
        <is>
          <t>擴大資本基礎;業務發展;償還債務</t>
        </is>
      </c>
      <c r="P37" t="inlineStr"/>
      <c r="Q37" t="inlineStr"/>
      <c r="R37" t="inlineStr"/>
      <c r="S37" t="inlineStr">
        <is>
          <t>待確認</t>
        </is>
      </c>
      <c r="T37" t="inlineStr">
        <is>
          <t>🟢 跟! | 極窄折讓0%❗=超高信心 | 💰 清債=拆彈 | 📈 資金擴張</t>
        </is>
      </c>
    </row>
    <row r="38">
      <c r="A38" t="inlineStr">
        <is>
          <t>00020</t>
        </is>
      </c>
      <c r="B38" t="inlineStr">
        <is>
          <t>2026-04-17</t>
        </is>
      </c>
      <c r="C38" t="inlineStr">
        <is>
          <t>Placing_GM</t>
        </is>
      </c>
      <c r="D38" t="inlineStr">
        <is>
          <t>配售: 擴大資本基礎;業務發展</t>
        </is>
      </c>
      <c r="E38" t="inlineStr"/>
      <c r="F38" t="inlineStr">
        <is>
          <t>17.00億</t>
        </is>
      </c>
      <c r="G38" t="n">
        <v>1.91</v>
      </c>
      <c r="H38" t="inlineStr"/>
      <c r="I38" t="inlineStr"/>
      <c r="J38" t="n">
        <v>4.205</v>
      </c>
      <c r="K38" t="inlineStr">
        <is>
          <t>-5.0%</t>
        </is>
      </c>
      <c r="L38" t="inlineStr">
        <is>
          <t>市價</t>
        </is>
      </c>
      <c r="M38" t="n">
        <v>3247000000</v>
      </c>
      <c r="N38" t="n">
        <v>3247000000</v>
      </c>
      <c r="O38" t="inlineStr">
        <is>
          <t>擴大資本基礎;業務發展</t>
        </is>
      </c>
      <c r="P38" t="inlineStr"/>
      <c r="Q38" t="inlineStr"/>
      <c r="R38" t="inlineStr"/>
      <c r="S38" t="inlineStr">
        <is>
          <t>待確認</t>
        </is>
      </c>
      <c r="T38" t="inlineStr">
        <is>
          <t>🟢 跟! | 極窄折讓5%❗=超高信心 | 📈 資金擴張</t>
        </is>
      </c>
    </row>
    <row r="39">
      <c r="A39" t="inlineStr">
        <is>
          <t>02499</t>
        </is>
      </c>
      <c r="B39" t="inlineStr">
        <is>
          <t>2026-04-17</t>
        </is>
      </c>
      <c r="C39" t="inlineStr">
        <is>
          <t>Placing_GM</t>
        </is>
      </c>
      <c r="D39" t="inlineStr">
        <is>
          <t>配售: 擴大資本基礎;業務發展</t>
        </is>
      </c>
      <c r="E39" t="inlineStr"/>
      <c r="F39" t="inlineStr">
        <is>
          <t>1.45千萬</t>
        </is>
      </c>
      <c r="G39" t="n">
        <v>6.02</v>
      </c>
      <c r="H39" t="inlineStr"/>
      <c r="I39" t="inlineStr"/>
      <c r="J39" t="n">
        <v>4.166</v>
      </c>
      <c r="K39" t="inlineStr">
        <is>
          <t>-2.3%</t>
        </is>
      </c>
      <c r="L39" t="inlineStr">
        <is>
          <t>市價</t>
        </is>
      </c>
      <c r="M39" t="n">
        <v>87300000</v>
      </c>
      <c r="N39" t="n">
        <v>87300000</v>
      </c>
      <c r="O39" t="inlineStr">
        <is>
          <t>擴大資本基礎;業務發展</t>
        </is>
      </c>
      <c r="P39" t="inlineStr"/>
      <c r="Q39" t="inlineStr"/>
      <c r="R39" t="inlineStr"/>
      <c r="S39" t="inlineStr">
        <is>
          <t>待確認</t>
        </is>
      </c>
      <c r="T39" t="inlineStr">
        <is>
          <t>🟢 跟! | 極窄折讓2%❗=超高信心 | 📈 資金擴張</t>
        </is>
      </c>
    </row>
    <row r="40">
      <c r="A40" t="inlineStr">
        <is>
          <t>02312</t>
        </is>
      </c>
      <c r="B40" t="inlineStr">
        <is>
          <t>2026-04-17</t>
        </is>
      </c>
      <c r="C40" t="inlineStr">
        <is>
          <t>Issue_GM_Debt</t>
        </is>
      </c>
      <c r="D40" t="inlineStr">
        <is>
          <t>代價發行: 收購項目 購區塊鏈及交易技術解決方案及數字娛樂業務</t>
        </is>
      </c>
      <c r="E40" t="inlineStr"/>
      <c r="F40" t="inlineStr">
        <is>
          <t>4.06千萬</t>
        </is>
      </c>
      <c r="G40" t="n">
        <v>0.728</v>
      </c>
      <c r="H40" t="inlineStr"/>
      <c r="I40" t="inlineStr"/>
      <c r="J40" t="n">
        <v>9.753</v>
      </c>
      <c r="K40" t="inlineStr">
        <is>
          <t>-5.5%</t>
        </is>
      </c>
      <c r="L40" t="inlineStr">
        <is>
          <t>市價</t>
        </is>
      </c>
      <c r="M40" t="n">
        <v>29600000</v>
      </c>
      <c r="N40" t="n">
        <v>29600000</v>
      </c>
      <c r="O40" t="inlineStr">
        <is>
          <t>收購項目 購區塊鏈及交易技術解決方案及數字娛樂業務</t>
        </is>
      </c>
      <c r="P40" t="inlineStr"/>
      <c r="Q40" t="inlineStr"/>
      <c r="R40" t="inlineStr"/>
      <c r="S40" t="inlineStr">
        <is>
          <t>待確認</t>
        </is>
      </c>
      <c r="T40" t="inlineStr">
        <is>
          <t>🟢 跟! | 🤝 發股收購 | 窄折讓5%=高信心接貨</t>
        </is>
      </c>
    </row>
    <row r="41">
      <c r="A41" t="inlineStr">
        <is>
          <t>02110</t>
        </is>
      </c>
      <c r="B41" t="inlineStr">
        <is>
          <t>2026-04-15</t>
        </is>
      </c>
      <c r="C41" t="inlineStr">
        <is>
          <t>Placing_GM</t>
        </is>
      </c>
      <c r="D41" t="inlineStr">
        <is>
          <t>配售: 擴大資本基礎</t>
        </is>
      </c>
      <c r="E41" t="inlineStr"/>
      <c r="F41" t="inlineStr">
        <is>
          <t>7.20千萬</t>
        </is>
      </c>
      <c r="G41" t="n">
        <v>0.1</v>
      </c>
      <c r="H41" t="inlineStr"/>
      <c r="I41" t="inlineStr"/>
      <c r="J41" t="n">
        <v>20</v>
      </c>
      <c r="K41" t="inlineStr">
        <is>
          <t>0.0%</t>
        </is>
      </c>
      <c r="L41" t="inlineStr">
        <is>
          <t>市價</t>
        </is>
      </c>
      <c r="M41" t="n">
        <v>7200000</v>
      </c>
      <c r="N41" t="n">
        <v>7200000</v>
      </c>
      <c r="O41" t="inlineStr">
        <is>
          <t>擴大資本基礎</t>
        </is>
      </c>
      <c r="P41" t="inlineStr"/>
      <c r="Q41" t="inlineStr"/>
      <c r="R41" t="inlineStr"/>
      <c r="S41" t="inlineStr">
        <is>
          <t>待確認</t>
        </is>
      </c>
      <c r="T41" t="inlineStr">
        <is>
          <t>🟢 跟! | 極窄折讓0%❗=超高信心</t>
        </is>
      </c>
    </row>
    <row r="42">
      <c r="A42" t="inlineStr">
        <is>
          <t>02617</t>
        </is>
      </c>
      <c r="B42" t="inlineStr">
        <is>
          <t>2026-04-15</t>
        </is>
      </c>
      <c r="C42" t="inlineStr">
        <is>
          <t>Placing_GM</t>
        </is>
      </c>
      <c r="D42" t="inlineStr">
        <is>
          <t>配售: 擴大資本基礎;業務發展</t>
        </is>
      </c>
      <c r="E42" t="inlineStr"/>
      <c r="F42" t="inlineStr">
        <is>
          <t>5.09百萬</t>
        </is>
      </c>
      <c r="G42" t="n">
        <v>57.03</v>
      </c>
      <c r="H42" t="inlineStr"/>
      <c r="I42" t="inlineStr"/>
      <c r="J42" t="n">
        <v>1.274</v>
      </c>
      <c r="K42" t="inlineStr">
        <is>
          <t>-18.9%</t>
        </is>
      </c>
      <c r="L42" t="inlineStr">
        <is>
          <t>市價</t>
        </is>
      </c>
      <c r="M42" t="n">
        <v>290000000</v>
      </c>
      <c r="N42" t="n">
        <v>290000000</v>
      </c>
      <c r="O42" t="inlineStr">
        <is>
          <t>擴大資本基礎;業務發展</t>
        </is>
      </c>
      <c r="P42" t="inlineStr"/>
      <c r="Q42" t="inlineStr"/>
      <c r="R42" t="inlineStr"/>
      <c r="S42" t="inlineStr">
        <is>
          <t>待確認</t>
        </is>
      </c>
      <c r="T42" t="inlineStr">
        <is>
          <t>🟢 跟! | 折讓19% | 📈 資金擴張 | 🔄 模式A: 3輪發股洗名冊 | 4個月內密集發股=準備炒上</t>
        </is>
      </c>
    </row>
    <row r="43">
      <c r="A43" t="inlineStr">
        <is>
          <t>01088</t>
        </is>
      </c>
      <c r="B43" t="inlineStr">
        <is>
          <t>2026-04-08</t>
        </is>
      </c>
      <c r="C43" t="inlineStr">
        <is>
          <t>Placing_GM</t>
        </is>
      </c>
      <c r="D43" t="inlineStr">
        <is>
          <t>配售: 擴大資本基礎 發行價相等於約49.65港元</t>
        </is>
      </c>
      <c r="E43" t="inlineStr"/>
      <c r="F43" t="inlineStr">
        <is>
          <t>4.58億</t>
        </is>
      </c>
      <c r="G43" t="n">
        <v>43.7</v>
      </c>
      <c r="H43" t="inlineStr"/>
      <c r="I43" t="inlineStr"/>
      <c r="J43" t="n">
        <v>2.156</v>
      </c>
      <c r="K43" t="inlineStr">
        <is>
          <t>-4.2%</t>
        </is>
      </c>
      <c r="L43" t="inlineStr">
        <is>
          <t>市價</t>
        </is>
      </c>
      <c r="M43" t="n">
        <v>20000000000</v>
      </c>
      <c r="N43" t="n">
        <v>20000000000</v>
      </c>
      <c r="O43" t="inlineStr">
        <is>
          <t>擴大資本基礎 發行價相等於約49.65港元</t>
        </is>
      </c>
      <c r="P43" t="inlineStr"/>
      <c r="Q43" t="inlineStr"/>
      <c r="R43" t="inlineStr"/>
      <c r="S43" t="inlineStr">
        <is>
          <t>待確認</t>
        </is>
      </c>
      <c r="T43" t="inlineStr">
        <is>
          <t>🟢 跟! | 極窄折讓4%❗=超高信心</t>
        </is>
      </c>
    </row>
    <row r="44">
      <c r="A44" t="inlineStr">
        <is>
          <t>00164</t>
        </is>
      </c>
      <c r="B44" t="inlineStr">
        <is>
          <t>2026-03-30</t>
        </is>
      </c>
      <c r="C44" t="inlineStr">
        <is>
          <t>Placing_GM</t>
        </is>
      </c>
      <c r="D44" t="inlineStr">
        <is>
          <t>配售: 擴大資本基礎</t>
        </is>
      </c>
      <c r="E44" t="inlineStr"/>
      <c r="F44" t="inlineStr">
        <is>
          <t>3.84千萬</t>
        </is>
      </c>
      <c r="G44" t="n">
        <v>0.4</v>
      </c>
      <c r="H44" t="inlineStr"/>
      <c r="I44" t="inlineStr"/>
      <c r="J44" t="n">
        <v>13.207</v>
      </c>
      <c r="K44" t="inlineStr">
        <is>
          <t>-2.4%</t>
        </is>
      </c>
      <c r="L44" t="inlineStr">
        <is>
          <t>市價</t>
        </is>
      </c>
      <c r="M44" t="n">
        <v>15400000</v>
      </c>
      <c r="N44" t="n">
        <v>15400000</v>
      </c>
      <c r="O44" t="inlineStr">
        <is>
          <t>擴大資本基礎</t>
        </is>
      </c>
      <c r="P44" t="inlineStr"/>
      <c r="Q44" t="inlineStr"/>
      <c r="R44" t="inlineStr"/>
      <c r="S44" t="inlineStr">
        <is>
          <t>待確認</t>
        </is>
      </c>
      <c r="T44" t="inlineStr">
        <is>
          <t>🟢 跟! | 極窄折讓2%❗=超高信心</t>
        </is>
      </c>
    </row>
    <row r="45">
      <c r="A45" t="inlineStr">
        <is>
          <t>00005</t>
        </is>
      </c>
      <c r="B45" t="inlineStr">
        <is>
          <t>2026-03-18</t>
        </is>
      </c>
      <c r="C45" t="inlineStr">
        <is>
          <t>Placing_GM</t>
        </is>
      </c>
      <c r="D45" t="inlineStr">
        <is>
          <t>配售: 擴大資本基礎 發行永久後償或有可轉換證券;2031年9月24日前六個月至證券重設日止期間贖回</t>
        </is>
      </c>
      <c r="E45" t="inlineStr"/>
      <c r="F45" t="inlineStr">
        <is>
          <t>--</t>
        </is>
      </c>
      <c r="G45" t="inlineStr">
        <is>
          <t>--</t>
        </is>
      </c>
      <c r="H45" t="inlineStr"/>
      <c r="I45" t="inlineStr"/>
      <c r="J45" t="inlineStr"/>
      <c r="K45" t="inlineStr"/>
      <c r="L45" t="inlineStr">
        <is>
          <t>市價</t>
        </is>
      </c>
      <c r="M45" t="n">
        <v>1250000000</v>
      </c>
      <c r="N45" t="n">
        <v>1250000000</v>
      </c>
      <c r="O45" t="inlineStr">
        <is>
          <t>擴大資本基礎 發行永久後償或有可轉換證券;2031年9月24日前六個月至證券重設日止期間贖回</t>
        </is>
      </c>
      <c r="P45" t="inlineStr"/>
      <c r="Q45" t="inlineStr"/>
      <c r="R45" t="inlineStr"/>
      <c r="S45" t="inlineStr">
        <is>
          <t>待確認</t>
        </is>
      </c>
      <c r="T45" t="inlineStr">
        <is>
          <t>🟢 跟! | 🔮 CB=日後換股有托價誘因 | 🔄 模式A: 3輪發股洗名冊 | 2個月內密集發股=準備炒上</t>
        </is>
      </c>
    </row>
    <row r="46">
      <c r="A46" t="inlineStr">
        <is>
          <t>00005</t>
        </is>
      </c>
      <c r="B46" t="inlineStr">
        <is>
          <t>2026-03-18</t>
        </is>
      </c>
      <c r="C46" t="inlineStr">
        <is>
          <t>Placing_GM</t>
        </is>
      </c>
      <c r="D46" t="inlineStr">
        <is>
          <t>配售: 擴大資本基礎 發行永久後償或有可轉換證券;2036年3月24日前六個月至證券重設日止期間贖回</t>
        </is>
      </c>
      <c r="E46" t="inlineStr"/>
      <c r="F46" t="inlineStr">
        <is>
          <t>--</t>
        </is>
      </c>
      <c r="G46" t="inlineStr">
        <is>
          <t>--</t>
        </is>
      </c>
      <c r="H46" t="inlineStr"/>
      <c r="I46" t="inlineStr"/>
      <c r="J46" t="inlineStr"/>
      <c r="K46" t="inlineStr"/>
      <c r="L46" t="inlineStr">
        <is>
          <t>市價</t>
        </is>
      </c>
      <c r="M46" t="n">
        <v>1250000000</v>
      </c>
      <c r="N46" t="n">
        <v>1250000000</v>
      </c>
      <c r="O46" t="inlineStr">
        <is>
          <t>擴大資本基礎 發行永久後償或有可轉換證券;2036年3月24日前六個月至證券重設日止期間贖回</t>
        </is>
      </c>
      <c r="P46" t="inlineStr"/>
      <c r="Q46" t="inlineStr"/>
      <c r="R46" t="inlineStr"/>
      <c r="S46" t="inlineStr">
        <is>
          <t>待確認</t>
        </is>
      </c>
      <c r="T46" t="inlineStr">
        <is>
          <t>🟢 跟! | 🔮 CB=日後換股有托價誘因 | 🔄 模式A: 3輪發股洗名冊 | 2個月內密集發股=準備炒上</t>
        </is>
      </c>
    </row>
    <row r="47">
      <c r="A47" t="inlineStr">
        <is>
          <t>00724</t>
        </is>
      </c>
      <c r="B47" t="inlineStr">
        <is>
          <t>2026-03-11</t>
        </is>
      </c>
      <c r="C47" t="inlineStr">
        <is>
          <t>Placing_GM</t>
        </is>
      </c>
      <c r="D47" t="inlineStr">
        <is>
          <t>配售: 擴大資本基礎</t>
        </is>
      </c>
      <c r="E47" t="inlineStr"/>
      <c r="F47" t="inlineStr">
        <is>
          <t>--</t>
        </is>
      </c>
      <c r="G47" t="inlineStr">
        <is>
          <t>--</t>
        </is>
      </c>
      <c r="H47" t="inlineStr"/>
      <c r="I47" t="inlineStr"/>
      <c r="J47" t="inlineStr"/>
      <c r="K47" t="inlineStr"/>
      <c r="L47" t="inlineStr">
        <is>
          <t>市價</t>
        </is>
      </c>
      <c r="M47" t="n">
        <v>19000000</v>
      </c>
      <c r="N47" t="n">
        <v>19000000</v>
      </c>
      <c r="O47" t="inlineStr">
        <is>
          <t>擴大資本基礎</t>
        </is>
      </c>
      <c r="P47" t="inlineStr"/>
      <c r="Q47" t="inlineStr"/>
      <c r="R47" t="inlineStr"/>
      <c r="S47" t="inlineStr">
        <is>
          <t>待確認</t>
        </is>
      </c>
      <c r="T47" t="inlineStr">
        <is>
          <t>🟢 跟! | 🔮 CB=日後換股有托價誘因 | 🔄 模式A: 3輪發股洗名冊 | 0個月內密集發股=準備炒上</t>
        </is>
      </c>
    </row>
    <row r="48">
      <c r="A48" t="inlineStr">
        <is>
          <t>02533</t>
        </is>
      </c>
      <c r="B48" t="inlineStr">
        <is>
          <t>2026-03-09</t>
        </is>
      </c>
      <c r="C48" t="inlineStr">
        <is>
          <t>Placing_GM</t>
        </is>
      </c>
      <c r="D48" t="inlineStr">
        <is>
          <t>配售: 擴大資本基礎;業務發展</t>
        </is>
      </c>
      <c r="E48" t="inlineStr"/>
      <c r="F48" t="inlineStr">
        <is>
          <t>3.35千萬</t>
        </is>
      </c>
      <c r="G48" t="n">
        <v>18.88</v>
      </c>
      <c r="H48" t="inlineStr"/>
      <c r="I48" t="inlineStr"/>
      <c r="J48" t="n">
        <v>4.99</v>
      </c>
      <c r="K48" t="inlineStr">
        <is>
          <t>-2.1%</t>
        </is>
      </c>
      <c r="L48" t="inlineStr">
        <is>
          <t>市價</t>
        </is>
      </c>
      <c r="M48" t="n">
        <v>633000000</v>
      </c>
      <c r="N48" t="n">
        <v>633000000</v>
      </c>
      <c r="O48" t="inlineStr">
        <is>
          <t>擴大資本基礎;業務發展</t>
        </is>
      </c>
      <c r="P48" t="inlineStr"/>
      <c r="Q48" t="inlineStr"/>
      <c r="R48" t="inlineStr"/>
      <c r="S48" t="inlineStr">
        <is>
          <t>待確認</t>
        </is>
      </c>
      <c r="T48" t="inlineStr">
        <is>
          <t>🟢 跟! | 極窄折讓2%❗=超高信心 | 📈 資金擴張</t>
        </is>
      </c>
    </row>
    <row r="49">
      <c r="A49" t="inlineStr">
        <is>
          <t>00866</t>
        </is>
      </c>
      <c r="B49" t="inlineStr">
        <is>
          <t>2026-03-05</t>
        </is>
      </c>
      <c r="C49" t="inlineStr">
        <is>
          <t>Placing_SM</t>
        </is>
      </c>
      <c r="D49" t="inlineStr">
        <is>
          <t>先舊後新: 業務發展</t>
        </is>
      </c>
      <c r="E49" t="inlineStr"/>
      <c r="F49" t="inlineStr">
        <is>
          <t>9.00千萬</t>
        </is>
      </c>
      <c r="G49" t="n">
        <v>3.51</v>
      </c>
      <c r="H49" t="inlineStr"/>
      <c r="I49" t="inlineStr"/>
      <c r="J49" t="n">
        <v>3.547</v>
      </c>
      <c r="K49" t="inlineStr">
        <is>
          <t>-9.5%</t>
        </is>
      </c>
      <c r="L49" t="inlineStr">
        <is>
          <t>市價</t>
        </is>
      </c>
      <c r="M49" t="n">
        <v>316000000</v>
      </c>
      <c r="N49" t="n">
        <v>316000000</v>
      </c>
      <c r="O49" t="inlineStr">
        <is>
          <t>業務發展</t>
        </is>
      </c>
      <c r="P49" t="inlineStr"/>
      <c r="Q49" t="inlineStr"/>
      <c r="R49" t="inlineStr"/>
      <c r="S49" t="inlineStr">
        <is>
          <t>待確認</t>
        </is>
      </c>
      <c r="T49" t="inlineStr">
        <is>
          <t>🟢 跟! | 🔄 先舊後新套利格局 | 窄折讓10%=高信心接貨</t>
        </is>
      </c>
    </row>
    <row r="50">
      <c r="A50" t="inlineStr">
        <is>
          <t>08106</t>
        </is>
      </c>
      <c r="B50" t="inlineStr">
        <is>
          <t>2026-02-11</t>
        </is>
      </c>
      <c r="C50" t="inlineStr">
        <is>
          <t>Placing_GM</t>
        </is>
      </c>
      <c r="D50" t="inlineStr">
        <is>
          <t>配售: 擴大資本基礎;業務發展</t>
        </is>
      </c>
      <c r="E50" t="inlineStr"/>
      <c r="F50" t="inlineStr">
        <is>
          <t>5.23千萬</t>
        </is>
      </c>
      <c r="G50" t="n">
        <v>0.31</v>
      </c>
      <c r="H50" t="inlineStr"/>
      <c r="I50" t="inlineStr"/>
      <c r="J50" t="n">
        <v>10.32</v>
      </c>
      <c r="K50" t="inlineStr">
        <is>
          <t>0.0%</t>
        </is>
      </c>
      <c r="L50" t="inlineStr">
        <is>
          <t>市價</t>
        </is>
      </c>
      <c r="M50" t="n">
        <v>16200000</v>
      </c>
      <c r="N50" t="n">
        <v>16200000</v>
      </c>
      <c r="O50" t="inlineStr">
        <is>
          <t>擴大資本基礎;業務發展</t>
        </is>
      </c>
      <c r="P50" t="inlineStr"/>
      <c r="Q50" t="inlineStr"/>
      <c r="R50" t="inlineStr"/>
      <c r="S50" t="inlineStr">
        <is>
          <t>待確認</t>
        </is>
      </c>
      <c r="T50" t="inlineStr">
        <is>
          <t>🟢 跟! | 極窄折讓0%❗=超高信心 | 📈 資金擴張</t>
        </is>
      </c>
    </row>
    <row r="51">
      <c r="A51" t="inlineStr">
        <is>
          <t>08021</t>
        </is>
      </c>
      <c r="B51" t="inlineStr">
        <is>
          <t>2026-02-06</t>
        </is>
      </c>
      <c r="C51" t="inlineStr">
        <is>
          <t>Rights</t>
        </is>
      </c>
      <c r="D51" t="inlineStr">
        <is>
          <t>供股: 擴大資本基礎;償還債務 合併後一供一(按非包銷基準</t>
        </is>
      </c>
      <c r="E51" t="inlineStr"/>
      <c r="F51" t="inlineStr">
        <is>
          <t>1.09億</t>
        </is>
      </c>
      <c r="G51" t="n">
        <v>0.24</v>
      </c>
      <c r="H51" t="inlineStr"/>
      <c r="I51" t="inlineStr"/>
      <c r="J51" t="n">
        <v>30.41</v>
      </c>
      <c r="K51" t="inlineStr">
        <is>
          <t>-40.0%</t>
        </is>
      </c>
      <c r="L51" t="inlineStr">
        <is>
          <t>市價</t>
        </is>
      </c>
      <c r="M51" t="n">
        <v>26200000</v>
      </c>
      <c r="N51" t="n">
        <v>26200000</v>
      </c>
      <c r="O51" t="inlineStr">
        <is>
          <t>擴大資本基礎;償還債務 合併後一供一(按非包銷基準</t>
        </is>
      </c>
      <c r="P51" t="inlineStr"/>
      <c r="Q51" t="inlineStr"/>
      <c r="R51" t="inlineStr"/>
      <c r="S51" t="inlineStr">
        <is>
          <t>待確認</t>
        </is>
      </c>
      <c r="T51" t="inlineStr">
        <is>
          <t>🟢 跟! | 📋 大折讓供股=大股東供完要炒上 | 大折讓40% | 🎯 模式B: 大折讓供股+配股組合拳</t>
        </is>
      </c>
    </row>
    <row r="52">
      <c r="A52" t="inlineStr">
        <is>
          <t>01575</t>
        </is>
      </c>
      <c r="B52" t="inlineStr">
        <is>
          <t>2026-02-05</t>
        </is>
      </c>
      <c r="C52" t="inlineStr">
        <is>
          <t>Placing_GM</t>
        </is>
      </c>
      <c r="D52" t="inlineStr">
        <is>
          <t>配售: 擴大資本基礎;業務發展</t>
        </is>
      </c>
      <c r="E52" t="inlineStr"/>
      <c r="F52" t="inlineStr">
        <is>
          <t>5.60億</t>
        </is>
      </c>
      <c r="G52" t="n">
        <v>0.05</v>
      </c>
      <c r="H52" t="inlineStr"/>
      <c r="I52" t="inlineStr"/>
      <c r="J52" t="n">
        <v>16.97</v>
      </c>
      <c r="K52" t="inlineStr">
        <is>
          <t>0.0%</t>
        </is>
      </c>
      <c r="L52" t="inlineStr">
        <is>
          <t>市價</t>
        </is>
      </c>
      <c r="M52" t="n">
        <v>28000000</v>
      </c>
      <c r="N52" t="n">
        <v>28000000</v>
      </c>
      <c r="O52" t="inlineStr">
        <is>
          <t>擴大資本基礎;業務發展</t>
        </is>
      </c>
      <c r="P52" t="inlineStr"/>
      <c r="Q52" t="inlineStr"/>
      <c r="R52" t="inlineStr"/>
      <c r="S52" t="inlineStr">
        <is>
          <t>待確認</t>
        </is>
      </c>
      <c r="T52" t="inlineStr">
        <is>
          <t>🟢 跟! | 極窄折讓0%❗=超高信心 | 📈 資金擴張</t>
        </is>
      </c>
    </row>
    <row r="53">
      <c r="A53" t="inlineStr">
        <is>
          <t>01262</t>
        </is>
      </c>
      <c r="B53" t="inlineStr">
        <is>
          <t>2026-02-05</t>
        </is>
      </c>
      <c r="C53" t="inlineStr">
        <is>
          <t>Issue_GM_Debt</t>
        </is>
      </c>
      <c r="D53" t="inlineStr">
        <is>
          <t>代價發行: 收購項目 購以人工智能(AI</t>
        </is>
      </c>
      <c r="E53" t="inlineStr"/>
      <c r="F53" t="inlineStr">
        <is>
          <t>2.08千萬</t>
        </is>
      </c>
      <c r="G53" t="n">
        <v>3.98</v>
      </c>
      <c r="H53" t="inlineStr"/>
      <c r="I53" t="inlineStr"/>
      <c r="J53" t="n">
        <v>9.539</v>
      </c>
      <c r="K53" t="inlineStr">
        <is>
          <t>-13.9%</t>
        </is>
      </c>
      <c r="L53" t="inlineStr">
        <is>
          <t>市價</t>
        </is>
      </c>
      <c r="M53" t="n">
        <v>82899999.99999999</v>
      </c>
      <c r="N53" t="n">
        <v>82899999.99999999</v>
      </c>
      <c r="O53" t="inlineStr">
        <is>
          <t>收購項目 購以人工智能(AI</t>
        </is>
      </c>
      <c r="P53" t="inlineStr"/>
      <c r="Q53" t="inlineStr"/>
      <c r="R53" t="inlineStr"/>
      <c r="S53" t="inlineStr">
        <is>
          <t>待確認</t>
        </is>
      </c>
      <c r="T53" t="inlineStr">
        <is>
          <t>🟢 跟! | 🤝 發股收購 | 窄折讓14%=高信心接貨</t>
        </is>
      </c>
    </row>
    <row r="54">
      <c r="A54" t="inlineStr">
        <is>
          <t>01050</t>
        </is>
      </c>
      <c r="B54" t="inlineStr">
        <is>
          <t>2026-01-29</t>
        </is>
      </c>
      <c r="C54" t="inlineStr">
        <is>
          <t>Placing_SM</t>
        </is>
      </c>
      <c r="D54" t="inlineStr">
        <is>
          <t>先舊後新: 業務發展</t>
        </is>
      </c>
      <c r="E54" t="inlineStr"/>
      <c r="F54" t="inlineStr">
        <is>
          <t>6.58千萬</t>
        </is>
      </c>
      <c r="G54" t="n">
        <v>2.37</v>
      </c>
      <c r="H54" t="inlineStr"/>
      <c r="I54" t="inlineStr"/>
      <c r="J54" t="n">
        <v>3.257</v>
      </c>
      <c r="K54" t="inlineStr">
        <is>
          <t>-9.5%</t>
        </is>
      </c>
      <c r="L54" t="inlineStr">
        <is>
          <t>市價</t>
        </is>
      </c>
      <c r="M54" t="n">
        <v>156000000</v>
      </c>
      <c r="N54" t="n">
        <v>156000000</v>
      </c>
      <c r="O54" t="inlineStr">
        <is>
          <t>業務發展</t>
        </is>
      </c>
      <c r="P54" t="inlineStr"/>
      <c r="Q54" t="inlineStr"/>
      <c r="R54" t="inlineStr"/>
      <c r="S54" t="inlineStr">
        <is>
          <t>待確認</t>
        </is>
      </c>
      <c r="T54" t="inlineStr">
        <is>
          <t>🟢 跟! | 🔄 先舊後新套利格局 | 窄折讓10%=高信心接貨</t>
        </is>
      </c>
    </row>
    <row r="55">
      <c r="A55" t="inlineStr">
        <is>
          <t>03306</t>
        </is>
      </c>
      <c r="B55" t="inlineStr">
        <is>
          <t>2026-01-23</t>
        </is>
      </c>
      <c r="C55" t="inlineStr">
        <is>
          <t>Placing_GM</t>
        </is>
      </c>
      <c r="D55" t="inlineStr">
        <is>
          <t>配售: 擴大資本基礎;業務發展</t>
        </is>
      </c>
      <c r="E55" t="inlineStr"/>
      <c r="F55" t="inlineStr">
        <is>
          <t>1.45千萬</t>
        </is>
      </c>
      <c r="G55" t="n">
        <v>18.78</v>
      </c>
      <c r="H55" t="inlineStr"/>
      <c r="I55" t="inlineStr"/>
      <c r="J55" t="n">
        <v>2.802</v>
      </c>
      <c r="K55" t="inlineStr">
        <is>
          <t>-0.3%</t>
        </is>
      </c>
      <c r="L55" t="inlineStr">
        <is>
          <t>市價</t>
        </is>
      </c>
      <c r="M55" t="n">
        <v>273000000</v>
      </c>
      <c r="N55" t="n">
        <v>273000000</v>
      </c>
      <c r="O55" t="inlineStr">
        <is>
          <t>擴大資本基礎;業務發展</t>
        </is>
      </c>
      <c r="P55" t="inlineStr"/>
      <c r="Q55" t="inlineStr"/>
      <c r="R55" t="inlineStr"/>
      <c r="S55" t="inlineStr">
        <is>
          <t>待確認</t>
        </is>
      </c>
      <c r="T55" t="inlineStr">
        <is>
          <t>🟢 跟! | 極窄折讓0%❗=超高信心 | 📈 資金擴張</t>
        </is>
      </c>
    </row>
    <row r="56">
      <c r="A56" t="inlineStr">
        <is>
          <t>03788</t>
        </is>
      </c>
      <c r="B56" t="inlineStr">
        <is>
          <t>2026-01-22</t>
        </is>
      </c>
      <c r="C56" t="inlineStr">
        <is>
          <t>Placing_GM</t>
        </is>
      </c>
      <c r="D56" t="inlineStr">
        <is>
          <t>配售: 業務發展</t>
        </is>
      </c>
      <c r="E56" t="inlineStr"/>
      <c r="F56" t="inlineStr">
        <is>
          <t>1.62億</t>
        </is>
      </c>
      <c r="G56" t="n">
        <v>3.8</v>
      </c>
      <c r="H56" t="inlineStr"/>
      <c r="I56" t="inlineStr"/>
      <c r="J56" t="n">
        <v>7.963</v>
      </c>
      <c r="K56" t="inlineStr">
        <is>
          <t>-24.8%</t>
        </is>
      </c>
      <c r="L56" t="inlineStr">
        <is>
          <t>市價</t>
        </is>
      </c>
      <c r="M56" t="n">
        <v>616000000</v>
      </c>
      <c r="N56" t="n">
        <v>616000000</v>
      </c>
      <c r="O56" t="inlineStr">
        <is>
          <t>業務發展</t>
        </is>
      </c>
      <c r="P56" t="inlineStr"/>
      <c r="Q56" t="inlineStr"/>
      <c r="R56" t="inlineStr"/>
      <c r="S56" t="inlineStr">
        <is>
          <t>待確認</t>
        </is>
      </c>
      <c r="T56" t="inlineStr">
        <is>
          <t>🟢 跟! | 折讓25% | 📈 資金擴張 | 🔄 模式A: 3輪發股洗名冊 | 2個月內密集發股=準備炒上</t>
        </is>
      </c>
    </row>
    <row r="57">
      <c r="A57" t="inlineStr">
        <is>
          <t>03788</t>
        </is>
      </c>
      <c r="B57" t="inlineStr">
        <is>
          <t>2026-01-22</t>
        </is>
      </c>
      <c r="C57" t="inlineStr">
        <is>
          <t>Placing_GM</t>
        </is>
      </c>
      <c r="D57" t="inlineStr">
        <is>
          <t>配售: 業務發展</t>
        </is>
      </c>
      <c r="E57" t="inlineStr"/>
      <c r="F57" t="inlineStr">
        <is>
          <t>4.40千萬</t>
        </is>
      </c>
      <c r="G57" t="n">
        <v>3.8</v>
      </c>
      <c r="H57" t="inlineStr"/>
      <c r="I57" t="inlineStr"/>
      <c r="J57" t="n">
        <v>2.16</v>
      </c>
      <c r="K57" t="inlineStr">
        <is>
          <t>-24.8%</t>
        </is>
      </c>
      <c r="L57" t="inlineStr">
        <is>
          <t>市價</t>
        </is>
      </c>
      <c r="M57" t="n">
        <v>167000000</v>
      </c>
      <c r="N57" t="n">
        <v>167000000</v>
      </c>
      <c r="O57" t="inlineStr">
        <is>
          <t>業務發展</t>
        </is>
      </c>
      <c r="P57" t="inlineStr"/>
      <c r="Q57" t="inlineStr"/>
      <c r="R57" t="inlineStr"/>
      <c r="S57" t="inlineStr">
        <is>
          <t>待確認</t>
        </is>
      </c>
      <c r="T57" t="inlineStr">
        <is>
          <t>🟢 跟! | 折讓25% | 📈 資金擴張 | 🔄 模式A: 3輪發股洗名冊 | 2個月內密集發股=準備炒上</t>
        </is>
      </c>
    </row>
    <row r="58">
      <c r="A58" t="inlineStr">
        <is>
          <t>02865</t>
        </is>
      </c>
      <c r="B58" t="inlineStr">
        <is>
          <t>2026-01-21</t>
        </is>
      </c>
      <c r="C58" t="inlineStr">
        <is>
          <t>Placing_GM</t>
        </is>
      </c>
      <c r="D58" t="inlineStr">
        <is>
          <t>配售: 擴大資本基礎;業務發展</t>
        </is>
      </c>
      <c r="E58" t="inlineStr"/>
      <c r="F58" t="inlineStr">
        <is>
          <t>1.87千萬</t>
        </is>
      </c>
      <c r="G58" t="n">
        <v>22</v>
      </c>
      <c r="H58" t="inlineStr"/>
      <c r="I58" t="inlineStr"/>
      <c r="J58" t="n">
        <v>6.423</v>
      </c>
      <c r="K58" t="inlineStr">
        <is>
          <t>-1.1%</t>
        </is>
      </c>
      <c r="L58" t="inlineStr">
        <is>
          <t>市價</t>
        </is>
      </c>
      <c r="M58" t="n">
        <v>411000000.0000001</v>
      </c>
      <c r="N58" t="n">
        <v>411000000.0000001</v>
      </c>
      <c r="O58" t="inlineStr">
        <is>
          <t>擴大資本基礎;業務發展</t>
        </is>
      </c>
      <c r="P58" t="inlineStr"/>
      <c r="Q58" t="inlineStr"/>
      <c r="R58" t="inlineStr"/>
      <c r="S58" t="inlineStr">
        <is>
          <t>待確認</t>
        </is>
      </c>
      <c r="T58" t="inlineStr">
        <is>
          <t>🟢 跟! | 極窄折讓1%❗=超高信心 | 📈 資金擴張</t>
        </is>
      </c>
    </row>
    <row r="59">
      <c r="A59" t="inlineStr">
        <is>
          <t>03899</t>
        </is>
      </c>
      <c r="B59" t="inlineStr">
        <is>
          <t>2026-01-20</t>
        </is>
      </c>
      <c r="C59" t="inlineStr">
        <is>
          <t>Placing_GM</t>
        </is>
      </c>
      <c r="D59" t="inlineStr">
        <is>
          <t>配售: 擴大資本基礎</t>
        </is>
      </c>
      <c r="E59" t="inlineStr"/>
      <c r="F59" t="inlineStr">
        <is>
          <t>7.97千萬</t>
        </is>
      </c>
      <c r="G59" t="n">
        <v>9.789999999999999</v>
      </c>
      <c r="H59" t="inlineStr"/>
      <c r="I59" t="inlineStr"/>
      <c r="J59" t="n">
        <v>3.922</v>
      </c>
      <c r="K59" t="inlineStr">
        <is>
          <t>-2.0%</t>
        </is>
      </c>
      <c r="L59" t="inlineStr">
        <is>
          <t>市價</t>
        </is>
      </c>
      <c r="M59" t="n">
        <v>780000000</v>
      </c>
      <c r="N59" t="n">
        <v>780000000</v>
      </c>
      <c r="O59" t="inlineStr">
        <is>
          <t>擴大資本基礎</t>
        </is>
      </c>
      <c r="P59" t="inlineStr"/>
      <c r="Q59" t="inlineStr"/>
      <c r="R59" t="inlineStr"/>
      <c r="S59" t="inlineStr">
        <is>
          <t>待確認</t>
        </is>
      </c>
      <c r="T59" t="inlineStr">
        <is>
          <t>🟢 跟! | 極窄折讓2%❗=超高信心</t>
        </is>
      </c>
    </row>
    <row r="60">
      <c r="A60" t="inlineStr">
        <is>
          <t>01792</t>
        </is>
      </c>
      <c r="B60" t="inlineStr">
        <is>
          <t>2026-01-19</t>
        </is>
      </c>
      <c r="C60" t="inlineStr">
        <is>
          <t>Placing_GM</t>
        </is>
      </c>
      <c r="D60" t="inlineStr">
        <is>
          <t>配售: 擴大資本基礎</t>
        </is>
      </c>
      <c r="E60" t="inlineStr"/>
      <c r="F60" t="inlineStr">
        <is>
          <t>1.03千萬</t>
        </is>
      </c>
      <c r="G60" t="n">
        <v>0.95</v>
      </c>
      <c r="H60" t="inlineStr"/>
      <c r="I60" t="inlineStr"/>
      <c r="J60" t="n">
        <v>20</v>
      </c>
      <c r="K60" t="inlineStr">
        <is>
          <t>-1.0%</t>
        </is>
      </c>
      <c r="L60" t="inlineStr">
        <is>
          <t>市價</t>
        </is>
      </c>
      <c r="M60" t="n">
        <v>9800000</v>
      </c>
      <c r="N60" t="n">
        <v>9800000</v>
      </c>
      <c r="O60" t="inlineStr">
        <is>
          <t>擴大資本基礎</t>
        </is>
      </c>
      <c r="P60" t="inlineStr"/>
      <c r="Q60" t="inlineStr"/>
      <c r="R60" t="inlineStr"/>
      <c r="S60" t="inlineStr">
        <is>
          <t>待確認</t>
        </is>
      </c>
      <c r="T60" t="inlineStr">
        <is>
          <t>🟢 跟! | 極窄折讓1%❗=超高信心</t>
        </is>
      </c>
    </row>
    <row r="61">
      <c r="A61" t="inlineStr">
        <is>
          <t>09858</t>
        </is>
      </c>
      <c r="B61" t="inlineStr">
        <is>
          <t>2026-01-16</t>
        </is>
      </c>
      <c r="C61" t="inlineStr">
        <is>
          <t>Placing_SM</t>
        </is>
      </c>
      <c r="D61" t="inlineStr">
        <is>
          <t>先舊後新: 擴大資本基礎;業務發展;償還債務</t>
        </is>
      </c>
      <c r="E61" t="inlineStr"/>
      <c r="F61" t="inlineStr">
        <is>
          <t>2.99億</t>
        </is>
      </c>
      <c r="G61" t="n">
        <v>3.92</v>
      </c>
      <c r="H61" t="inlineStr"/>
      <c r="I61" t="inlineStr"/>
      <c r="J61" t="n">
        <v>7.687</v>
      </c>
      <c r="K61" t="inlineStr">
        <is>
          <t>-10.5%</t>
        </is>
      </c>
      <c r="L61" t="inlineStr">
        <is>
          <t>市價</t>
        </is>
      </c>
      <c r="M61" t="n">
        <v>1173000000</v>
      </c>
      <c r="N61" t="n">
        <v>1173000000</v>
      </c>
      <c r="O61" t="inlineStr">
        <is>
          <t>擴大資本基礎;業務發展;償還債務</t>
        </is>
      </c>
      <c r="P61" t="inlineStr"/>
      <c r="Q61" t="inlineStr"/>
      <c r="R61" t="inlineStr"/>
      <c r="S61" t="inlineStr">
        <is>
          <t>待確認</t>
        </is>
      </c>
      <c r="T61" t="inlineStr">
        <is>
          <t>🟢 跟! | 🔄 先舊後新套利格局 | 窄折讓11%=高信心接貨</t>
        </is>
      </c>
    </row>
    <row r="62">
      <c r="A62" t="inlineStr">
        <is>
          <t>00770</t>
        </is>
      </c>
      <c r="B62" t="inlineStr">
        <is>
          <t>2026-01-15</t>
        </is>
      </c>
      <c r="C62" t="inlineStr">
        <is>
          <t>Rights</t>
        </is>
      </c>
      <c r="D62" t="inlineStr">
        <is>
          <t>供股: 擴大資本基礎;業務發展 八供三(按非包銷基準</t>
        </is>
      </c>
      <c r="E62" t="inlineStr"/>
      <c r="F62" t="inlineStr">
        <is>
          <t>2.62百萬</t>
        </is>
      </c>
      <c r="G62" t="n">
        <v>0.12</v>
      </c>
      <c r="H62" t="inlineStr"/>
      <c r="I62" t="inlineStr"/>
      <c r="J62" t="n">
        <v>20.441</v>
      </c>
      <c r="K62" t="inlineStr">
        <is>
          <t>-52.0%</t>
        </is>
      </c>
      <c r="L62" t="inlineStr">
        <is>
          <t>市價</t>
        </is>
      </c>
      <c r="M62" t="n">
        <v>314500</v>
      </c>
      <c r="N62" t="n">
        <v>314500</v>
      </c>
      <c r="O62" t="inlineStr">
        <is>
          <t>擴大資本基礎;業務發展 八供三(按非包銷基準</t>
        </is>
      </c>
      <c r="P62" t="inlineStr"/>
      <c r="Q62" t="inlineStr"/>
      <c r="R62" t="inlineStr"/>
      <c r="S62" t="inlineStr">
        <is>
          <t>待確認</t>
        </is>
      </c>
      <c r="T62" t="inlineStr">
        <is>
          <t>🟢 跟! | 📋 大折讓供股=大股東供完要炒上 | 超大折讓52%=可能財困 | 🎯 模式B: 大折讓供股+配股組合拳</t>
        </is>
      </c>
    </row>
    <row r="63">
      <c r="A63" t="inlineStr">
        <is>
          <t>03759</t>
        </is>
      </c>
      <c r="B63" t="inlineStr">
        <is>
          <t>2026-01-15</t>
        </is>
      </c>
      <c r="C63" t="inlineStr">
        <is>
          <t>Placing_GM</t>
        </is>
      </c>
      <c r="D63" t="inlineStr">
        <is>
          <t>配售: 擴大資本基礎;業務發展;償還債務</t>
        </is>
      </c>
      <c r="E63" t="inlineStr"/>
      <c r="F63" t="inlineStr">
        <is>
          <t>5.84千萬</t>
        </is>
      </c>
      <c r="G63" t="n">
        <v>22.82</v>
      </c>
      <c r="H63" t="inlineStr"/>
      <c r="I63" t="inlineStr"/>
      <c r="J63" t="n">
        <v>3.3</v>
      </c>
      <c r="K63" t="inlineStr">
        <is>
          <t>-4.3%</t>
        </is>
      </c>
      <c r="L63" t="inlineStr">
        <is>
          <t>市價</t>
        </is>
      </c>
      <c r="M63" t="n">
        <v>1334000000</v>
      </c>
      <c r="N63" t="n">
        <v>1334000000</v>
      </c>
      <c r="O63" t="inlineStr">
        <is>
          <t>擴大資本基礎;業務發展;償還債務</t>
        </is>
      </c>
      <c r="P63" t="inlineStr"/>
      <c r="Q63" t="inlineStr"/>
      <c r="R63" t="inlineStr"/>
      <c r="S63" t="inlineStr">
        <is>
          <t>待確認</t>
        </is>
      </c>
      <c r="T63" t="inlineStr">
        <is>
          <t>🟢 跟! | 極窄折讓4%❗=超高信心 | 💰 清債=拆彈 | 📈 資金擴張</t>
        </is>
      </c>
    </row>
    <row r="64">
      <c r="A64" t="inlineStr">
        <is>
          <t>01519</t>
        </is>
      </c>
      <c r="B64" t="inlineStr">
        <is>
          <t>2026-01-15</t>
        </is>
      </c>
      <c r="C64" t="inlineStr">
        <is>
          <t>Issue_GM_Debt</t>
        </is>
      </c>
      <c r="D64" t="inlineStr">
        <is>
          <t>代價發行: 收購項目 配予順豐控股(06936</t>
        </is>
      </c>
      <c r="E64" t="inlineStr"/>
      <c r="F64" t="inlineStr">
        <is>
          <t>8.22億</t>
        </is>
      </c>
      <c r="G64" t="n">
        <v>10.1</v>
      </c>
      <c r="H64" t="inlineStr"/>
      <c r="I64" t="inlineStr"/>
      <c r="J64" t="n">
        <v>9.234</v>
      </c>
      <c r="K64" t="inlineStr">
        <is>
          <t>-14.6%</t>
        </is>
      </c>
      <c r="L64" t="inlineStr">
        <is>
          <t>市價</t>
        </is>
      </c>
      <c r="M64" t="n">
        <v>8298999999.999999</v>
      </c>
      <c r="N64" t="n">
        <v>8298999999.999999</v>
      </c>
      <c r="O64" t="inlineStr">
        <is>
          <t>收購項目 配予順豐控股(06936</t>
        </is>
      </c>
      <c r="P64" t="inlineStr"/>
      <c r="Q64" t="inlineStr"/>
      <c r="R64" t="inlineStr"/>
      <c r="S64" t="inlineStr">
        <is>
          <t>待確認</t>
        </is>
      </c>
      <c r="T64" t="inlineStr">
        <is>
          <t>🟢 跟! | 🤝 發股收購 | 窄折讓15%=高信心接貨</t>
        </is>
      </c>
    </row>
    <row r="65">
      <c r="A65" t="inlineStr">
        <is>
          <t>03303</t>
        </is>
      </c>
      <c r="B65" t="inlineStr">
        <is>
          <t>2026-01-14</t>
        </is>
      </c>
      <c r="C65" t="inlineStr">
        <is>
          <t>Rights</t>
        </is>
      </c>
      <c r="D65" t="inlineStr">
        <is>
          <t>供股: 擴大資本基礎 六供一(按非包銷基準</t>
        </is>
      </c>
      <c r="E65" t="inlineStr"/>
      <c r="F65" t="inlineStr">
        <is>
          <t>1.96億</t>
        </is>
      </c>
      <c r="G65" t="n">
        <v>0.16</v>
      </c>
      <c r="H65" t="inlineStr"/>
      <c r="I65" t="inlineStr"/>
      <c r="J65" t="n">
        <v>9.17</v>
      </c>
      <c r="K65" t="inlineStr">
        <is>
          <t>-66.0%</t>
        </is>
      </c>
      <c r="L65" t="inlineStr">
        <is>
          <t>市價</t>
        </is>
      </c>
      <c r="M65" t="n">
        <v>31300000</v>
      </c>
      <c r="N65" t="n">
        <v>31300000</v>
      </c>
      <c r="O65" t="inlineStr">
        <is>
          <t>擴大資本基礎 六供一(按非包銷基準</t>
        </is>
      </c>
      <c r="P65" t="inlineStr"/>
      <c r="Q65" t="inlineStr"/>
      <c r="R65" t="inlineStr"/>
      <c r="S65" t="inlineStr">
        <is>
          <t>待確認</t>
        </is>
      </c>
      <c r="T65" t="inlineStr">
        <is>
          <t>🟢 跟! | 📋 大折讓供股=大股東供完要炒上 | 超大折讓66%=可能財困 | 🎯 模式B: 大折讓供股+配股組合拳</t>
        </is>
      </c>
    </row>
    <row r="66">
      <c r="A66" t="inlineStr">
        <is>
          <t>09958</t>
        </is>
      </c>
      <c r="B66" t="inlineStr">
        <is>
          <t>2026-01-14</t>
        </is>
      </c>
      <c r="C66" t="inlineStr">
        <is>
          <t>Placing_GM</t>
        </is>
      </c>
      <c r="D66" t="inlineStr">
        <is>
          <t>配售: 擴大資本基礎</t>
        </is>
      </c>
      <c r="E66" t="inlineStr"/>
      <c r="F66" t="inlineStr">
        <is>
          <t>7.20千萬</t>
        </is>
      </c>
      <c r="G66" t="n">
        <v>0.2</v>
      </c>
      <c r="H66" t="inlineStr"/>
      <c r="I66" t="inlineStr"/>
      <c r="J66" t="n">
        <v>20</v>
      </c>
      <c r="K66" t="inlineStr">
        <is>
          <t>0.0%</t>
        </is>
      </c>
      <c r="L66" t="inlineStr">
        <is>
          <t>市價</t>
        </is>
      </c>
      <c r="M66" t="n">
        <v>14400000</v>
      </c>
      <c r="N66" t="n">
        <v>14400000</v>
      </c>
      <c r="O66" t="inlineStr">
        <is>
          <t>擴大資本基礎</t>
        </is>
      </c>
      <c r="P66" t="inlineStr"/>
      <c r="Q66" t="inlineStr"/>
      <c r="R66" t="inlineStr"/>
      <c r="S66" t="inlineStr">
        <is>
          <t>待確認</t>
        </is>
      </c>
      <c r="T66" t="inlineStr">
        <is>
          <t>🟢 跟! | 極窄折讓0%❗=超高信心</t>
        </is>
      </c>
    </row>
    <row r="67">
      <c r="A67" t="inlineStr">
        <is>
          <t>01826</t>
        </is>
      </c>
      <c r="B67" t="inlineStr">
        <is>
          <t>2026-01-12</t>
        </is>
      </c>
      <c r="C67" t="inlineStr">
        <is>
          <t>Placing_GM</t>
        </is>
      </c>
      <c r="D67" t="inlineStr">
        <is>
          <t>配售: 擴大資本基礎;業務發展</t>
        </is>
      </c>
      <c r="E67" t="inlineStr"/>
      <c r="F67" t="inlineStr">
        <is>
          <t>2.66億</t>
        </is>
      </c>
      <c r="G67" t="n">
        <v>0.153</v>
      </c>
      <c r="H67" t="inlineStr"/>
      <c r="I67" t="inlineStr"/>
      <c r="J67" t="n">
        <v>20</v>
      </c>
      <c r="K67" t="inlineStr">
        <is>
          <t>-19.5%</t>
        </is>
      </c>
      <c r="L67" t="inlineStr">
        <is>
          <t>市價</t>
        </is>
      </c>
      <c r="M67" t="n">
        <v>40800000</v>
      </c>
      <c r="N67" t="n">
        <v>40800000</v>
      </c>
      <c r="O67" t="inlineStr">
        <is>
          <t>擴大資本基礎;業務發展</t>
        </is>
      </c>
      <c r="P67" t="inlineStr"/>
      <c r="Q67" t="inlineStr"/>
      <c r="R67" t="inlineStr"/>
      <c r="S67" t="inlineStr">
        <is>
          <t>待確認</t>
        </is>
      </c>
      <c r="T67" t="inlineStr">
        <is>
          <t>🟢 跟! | 折讓19% | 📈 資金擴張 | 🎯 模式B: 大折讓供股+配股組合拳</t>
        </is>
      </c>
    </row>
    <row r="68">
      <c r="A68" t="inlineStr">
        <is>
          <t>01693</t>
        </is>
      </c>
      <c r="B68" t="inlineStr">
        <is>
          <t>2026-01-12</t>
        </is>
      </c>
      <c r="C68" t="inlineStr">
        <is>
          <t>Placing_GM</t>
        </is>
      </c>
      <c r="D68" t="inlineStr">
        <is>
          <t>配售: 擴大資本基礎</t>
        </is>
      </c>
      <c r="E68" t="inlineStr"/>
      <c r="F68" t="inlineStr">
        <is>
          <t>3.61百萬</t>
        </is>
      </c>
      <c r="G68" t="n">
        <v>2.2</v>
      </c>
      <c r="H68" t="inlineStr"/>
      <c r="I68" t="inlineStr"/>
      <c r="J68" t="n">
        <v>9.118</v>
      </c>
      <c r="K68" t="inlineStr">
        <is>
          <t>-2.2%</t>
        </is>
      </c>
      <c r="L68" t="inlineStr">
        <is>
          <t>市價</t>
        </is>
      </c>
      <c r="M68" t="n">
        <v>7940000</v>
      </c>
      <c r="N68" t="n">
        <v>7940000</v>
      </c>
      <c r="O68" t="inlineStr">
        <is>
          <t>擴大資本基礎</t>
        </is>
      </c>
      <c r="P68" t="inlineStr"/>
      <c r="Q68" t="inlineStr"/>
      <c r="R68" t="inlineStr"/>
      <c r="S68" t="inlineStr">
        <is>
          <t>待確認</t>
        </is>
      </c>
      <c r="T68" t="inlineStr">
        <is>
          <t>🟢 跟! | 極窄折讓2%❗=超高信心</t>
        </is>
      </c>
    </row>
    <row r="69">
      <c r="A69" t="inlineStr">
        <is>
          <t>01372</t>
        </is>
      </c>
      <c r="B69" t="inlineStr">
        <is>
          <t>2026-01-08</t>
        </is>
      </c>
      <c r="C69" t="inlineStr">
        <is>
          <t>Placing_GM</t>
        </is>
      </c>
      <c r="D69" t="inlineStr">
        <is>
          <t>配售: 擴大資本基礎</t>
        </is>
      </c>
      <c r="E69" t="inlineStr"/>
      <c r="F69" t="inlineStr">
        <is>
          <t>3.20千萬</t>
        </is>
      </c>
      <c r="G69" t="n">
        <v>1.5</v>
      </c>
      <c r="H69" t="inlineStr"/>
      <c r="I69" t="inlineStr"/>
      <c r="J69" t="n">
        <v>4.977</v>
      </c>
      <c r="K69" t="inlineStr">
        <is>
          <t>-4.5%</t>
        </is>
      </c>
      <c r="L69" t="inlineStr">
        <is>
          <t>市價</t>
        </is>
      </c>
      <c r="M69" t="n">
        <v>48000000</v>
      </c>
      <c r="N69" t="n">
        <v>48000000</v>
      </c>
      <c r="O69" t="inlineStr">
        <is>
          <t>擴大資本基礎</t>
        </is>
      </c>
      <c r="P69" t="inlineStr"/>
      <c r="Q69" t="inlineStr"/>
      <c r="R69" t="inlineStr"/>
      <c r="S69" t="inlineStr">
        <is>
          <t>待確認</t>
        </is>
      </c>
      <c r="T69" t="inlineStr">
        <is>
          <t>🟢 跟! | 極窄折讓4%❗=超高信心</t>
        </is>
      </c>
    </row>
    <row r="70">
      <c r="A70" t="inlineStr">
        <is>
          <t>01776</t>
        </is>
      </c>
      <c r="B70" t="inlineStr">
        <is>
          <t>2026-01-07</t>
        </is>
      </c>
      <c r="C70" t="inlineStr">
        <is>
          <t>Placing_GM</t>
        </is>
      </c>
      <c r="D70" t="inlineStr">
        <is>
          <t>配售: 業務發展</t>
        </is>
      </c>
      <c r="E70" t="inlineStr"/>
      <c r="F70" t="inlineStr">
        <is>
          <t>2.19億</t>
        </is>
      </c>
      <c r="G70" t="n">
        <v>18.15</v>
      </c>
      <c r="H70" t="inlineStr"/>
      <c r="I70" t="inlineStr"/>
      <c r="J70" t="n">
        <v>2.879</v>
      </c>
      <c r="K70" t="inlineStr">
        <is>
          <t>-4.5%</t>
        </is>
      </c>
      <c r="L70" t="inlineStr">
        <is>
          <t>市價</t>
        </is>
      </c>
      <c r="M70" t="n">
        <v>3975000000</v>
      </c>
      <c r="N70" t="n">
        <v>3975000000</v>
      </c>
      <c r="O70" t="inlineStr">
        <is>
          <t>業務發展</t>
        </is>
      </c>
      <c r="P70" t="inlineStr"/>
      <c r="Q70" t="inlineStr"/>
      <c r="R70" t="inlineStr"/>
      <c r="S70" t="inlineStr">
        <is>
          <t>待確認</t>
        </is>
      </c>
      <c r="T70" t="inlineStr">
        <is>
          <t>🟢 跟! | 極窄折讓4%❗=超高信心 | 📈 資金擴張</t>
        </is>
      </c>
    </row>
    <row r="71">
      <c r="A71" t="inlineStr">
        <is>
          <t>09863</t>
        </is>
      </c>
      <c r="B71" t="inlineStr">
        <is>
          <t>2026-01-06</t>
        </is>
      </c>
      <c r="C71" t="inlineStr">
        <is>
          <t>Placing_GM</t>
        </is>
      </c>
      <c r="D71" t="inlineStr">
        <is>
          <t>配售: 擴大資本基礎;業務發展 配售價相當於約港幣55.29元</t>
        </is>
      </c>
      <c r="E71" t="inlineStr"/>
      <c r="F71" t="inlineStr">
        <is>
          <t>6.00千萬</t>
        </is>
      </c>
      <c r="G71" t="n">
        <v>50.03</v>
      </c>
      <c r="H71" t="inlineStr"/>
      <c r="I71" t="inlineStr"/>
      <c r="J71" t="n">
        <v>4.217</v>
      </c>
      <c r="K71" t="inlineStr">
        <is>
          <t>-0.9%</t>
        </is>
      </c>
      <c r="L71" t="inlineStr">
        <is>
          <t>市價</t>
        </is>
      </c>
      <c r="M71" t="n">
        <v>3000000000</v>
      </c>
      <c r="N71" t="n">
        <v>3000000000</v>
      </c>
      <c r="O71" t="inlineStr">
        <is>
          <t>擴大資本基礎;業務發展 配售價相當於約港幣55.29元</t>
        </is>
      </c>
      <c r="P71" t="inlineStr"/>
      <c r="Q71" t="inlineStr"/>
      <c r="R71" t="inlineStr"/>
      <c r="S71" t="inlineStr">
        <is>
          <t>待確認</t>
        </is>
      </c>
      <c r="T71" t="inlineStr">
        <is>
          <t>🟢 跟! | 極窄折讓1%❗=超高信心 | 📈 資金擴張</t>
        </is>
      </c>
    </row>
    <row r="72">
      <c r="A72" t="inlineStr">
        <is>
          <t>00943</t>
        </is>
      </c>
      <c r="B72" t="inlineStr">
        <is>
          <t>2026-01-02</t>
        </is>
      </c>
      <c r="C72" t="inlineStr">
        <is>
          <t>Issue_GM_Debt</t>
        </is>
      </c>
      <c r="D72" t="inlineStr">
        <is>
          <t>代價發行: 收購項目 購中國廣東省美容行業數位化賦能解決方案研發業務</t>
        </is>
      </c>
      <c r="E72" t="inlineStr"/>
      <c r="F72" t="inlineStr">
        <is>
          <t>3.42億</t>
        </is>
      </c>
      <c r="G72" t="n">
        <v>0.183</v>
      </c>
      <c r="H72" t="inlineStr"/>
      <c r="I72" t="inlineStr"/>
      <c r="J72" t="n">
        <v>19.893</v>
      </c>
      <c r="K72" t="inlineStr">
        <is>
          <t>-8.5%</t>
        </is>
      </c>
      <c r="L72" t="inlineStr">
        <is>
          <t>市價</t>
        </is>
      </c>
      <c r="M72" t="n">
        <v>62500000</v>
      </c>
      <c r="N72" t="n">
        <v>62500000</v>
      </c>
      <c r="O72" t="inlineStr">
        <is>
          <t>收購項目 購中國廣東省美容行業數位化賦能解決方案研發業務</t>
        </is>
      </c>
      <c r="P72" t="inlineStr"/>
      <c r="Q72" t="inlineStr"/>
      <c r="R72" t="inlineStr"/>
      <c r="S72" t="inlineStr">
        <is>
          <t>待確認</t>
        </is>
      </c>
      <c r="T72" t="inlineStr">
        <is>
          <t>🟢 跟! | 🤝 發股收購 | 窄折讓9%=高信心接貨</t>
        </is>
      </c>
    </row>
    <row r="73">
      <c r="A73" t="inlineStr">
        <is>
          <t>00204</t>
        </is>
      </c>
      <c r="B73" t="inlineStr">
        <is>
          <t>2025-12-24</t>
        </is>
      </c>
      <c r="C73" t="inlineStr">
        <is>
          <t>Placing_GM</t>
        </is>
      </c>
      <c r="D73" t="inlineStr">
        <is>
          <t>配售: 業務發展</t>
        </is>
      </c>
      <c r="E73" t="inlineStr"/>
      <c r="F73" t="inlineStr">
        <is>
          <t>4.15千萬</t>
        </is>
      </c>
      <c r="G73" t="n">
        <v>0.183</v>
      </c>
      <c r="H73" t="inlineStr"/>
      <c r="I73" t="inlineStr"/>
      <c r="J73" t="n">
        <v>20</v>
      </c>
      <c r="K73" t="inlineStr">
        <is>
          <t>-3.7%</t>
        </is>
      </c>
      <c r="L73" t="inlineStr">
        <is>
          <t>市價</t>
        </is>
      </c>
      <c r="M73" t="n">
        <v>7600000</v>
      </c>
      <c r="N73" t="n">
        <v>7600000</v>
      </c>
      <c r="O73" t="inlineStr">
        <is>
          <t>業務發展</t>
        </is>
      </c>
      <c r="P73" t="inlineStr"/>
      <c r="Q73" t="inlineStr"/>
      <c r="R73" t="inlineStr"/>
      <c r="S73" t="inlineStr">
        <is>
          <t>待確認</t>
        </is>
      </c>
      <c r="T73" t="inlineStr">
        <is>
          <t>🟢 跟! | 極窄折讓4%❗=超高信心 | 📈 資金擴張</t>
        </is>
      </c>
    </row>
    <row r="74">
      <c r="A74" t="inlineStr">
        <is>
          <t>00340</t>
        </is>
      </c>
      <c r="B74" t="inlineStr">
        <is>
          <t>2025-12-19</t>
        </is>
      </c>
      <c r="C74" t="inlineStr">
        <is>
          <t>Issue_GM_Debt</t>
        </is>
      </c>
      <c r="D74" t="inlineStr">
        <is>
          <t>代價發行: 收購項目 購礦山工程及建設業務;代價相等於2.6億元人民幣</t>
        </is>
      </c>
      <c r="E74" t="inlineStr"/>
      <c r="F74" t="inlineStr">
        <is>
          <t>1.10億</t>
        </is>
      </c>
      <c r="G74" t="n">
        <v>2.6</v>
      </c>
      <c r="H74" t="inlineStr"/>
      <c r="I74" t="inlineStr"/>
      <c r="J74" t="n">
        <v>2.116</v>
      </c>
      <c r="K74" t="inlineStr">
        <is>
          <t>-5.5%</t>
        </is>
      </c>
      <c r="L74" t="inlineStr">
        <is>
          <t>市價</t>
        </is>
      </c>
      <c r="M74" t="n">
        <v>286000000</v>
      </c>
      <c r="N74" t="n">
        <v>286000000</v>
      </c>
      <c r="O74" t="inlineStr">
        <is>
          <t>收購項目 購礦山工程及建設業務;代價相等於2.6億元人民幣</t>
        </is>
      </c>
      <c r="P74" t="inlineStr"/>
      <c r="Q74" t="inlineStr"/>
      <c r="R74" t="inlineStr"/>
      <c r="S74" t="inlineStr">
        <is>
          <t>待確認</t>
        </is>
      </c>
      <c r="T74" t="inlineStr">
        <is>
          <t>🟢 跟! | 🤝 發股收購 | 窄折讓5%=高信心接貨</t>
        </is>
      </c>
    </row>
    <row r="75">
      <c r="A75" t="inlineStr">
        <is>
          <t>00020</t>
        </is>
      </c>
      <c r="B75" t="inlineStr">
        <is>
          <t>2025-12-18</t>
        </is>
      </c>
      <c r="C75" t="inlineStr">
        <is>
          <t>Placing_GM</t>
        </is>
      </c>
      <c r="D75" t="inlineStr">
        <is>
          <t>配售: 擴大資本基礎;業務發展</t>
        </is>
      </c>
      <c r="E75" t="inlineStr"/>
      <c r="F75" t="inlineStr">
        <is>
          <t>17.50億</t>
        </is>
      </c>
      <c r="G75" t="n">
        <v>1.8</v>
      </c>
      <c r="H75" t="inlineStr"/>
      <c r="I75" t="inlineStr"/>
      <c r="J75" t="n">
        <v>4.525</v>
      </c>
      <c r="K75" t="inlineStr">
        <is>
          <t>-4.8%</t>
        </is>
      </c>
      <c r="L75" t="inlineStr">
        <is>
          <t>市價</t>
        </is>
      </c>
      <c r="M75" t="n">
        <v>3150000000</v>
      </c>
      <c r="N75" t="n">
        <v>3150000000</v>
      </c>
      <c r="O75" t="inlineStr">
        <is>
          <t>擴大資本基礎;業務發展</t>
        </is>
      </c>
      <c r="P75" t="inlineStr"/>
      <c r="Q75" t="inlineStr"/>
      <c r="R75" t="inlineStr"/>
      <c r="S75" t="inlineStr">
        <is>
          <t>待確認</t>
        </is>
      </c>
      <c r="T75" t="inlineStr">
        <is>
          <t>🟢 跟! | 極窄折讓5%❗=超高信心 | 📈 資金擴張</t>
        </is>
      </c>
    </row>
    <row r="76">
      <c r="A76" t="inlineStr">
        <is>
          <t>00990</t>
        </is>
      </c>
      <c r="B76" t="inlineStr">
        <is>
          <t>2025-12-18</t>
        </is>
      </c>
      <c r="C76" t="inlineStr">
        <is>
          <t>Placing_GM</t>
        </is>
      </c>
      <c r="D76" t="inlineStr">
        <is>
          <t>配售: 業務發展</t>
        </is>
      </c>
      <c r="E76" t="inlineStr"/>
      <c r="F76" t="inlineStr">
        <is>
          <t>5.15億</t>
        </is>
      </c>
      <c r="G76" t="n">
        <v>0.6899999999999999</v>
      </c>
      <c r="H76" t="inlineStr"/>
      <c r="I76" t="inlineStr"/>
      <c r="J76" t="n">
        <v>3.605</v>
      </c>
      <c r="K76" t="inlineStr">
        <is>
          <t>-1.4%</t>
        </is>
      </c>
      <c r="L76" t="inlineStr">
        <is>
          <t>市價</t>
        </is>
      </c>
      <c r="M76" t="n">
        <v>355000000</v>
      </c>
      <c r="N76" t="n">
        <v>355000000</v>
      </c>
      <c r="O76" t="inlineStr">
        <is>
          <t>業務發展</t>
        </is>
      </c>
      <c r="P76" t="inlineStr"/>
      <c r="Q76" t="inlineStr"/>
      <c r="R76" t="inlineStr"/>
      <c r="S76" t="inlineStr">
        <is>
          <t>待確認</t>
        </is>
      </c>
      <c r="T76" t="inlineStr">
        <is>
          <t>🟢 跟! | 極窄折讓1%❗=超高信心 | 📈 資金擴張</t>
        </is>
      </c>
    </row>
    <row r="77">
      <c r="A77" t="inlineStr">
        <is>
          <t>00764</t>
        </is>
      </c>
      <c r="B77" t="inlineStr">
        <is>
          <t>2025-12-17</t>
        </is>
      </c>
      <c r="C77" t="inlineStr">
        <is>
          <t>Placing_GM</t>
        </is>
      </c>
      <c r="D77" t="inlineStr">
        <is>
          <t>配售: 擴大資本基礎;償還債務</t>
        </is>
      </c>
      <c r="E77" t="inlineStr"/>
      <c r="F77" t="inlineStr">
        <is>
          <t>2.00千萬</t>
        </is>
      </c>
      <c r="G77" t="n">
        <v>1</v>
      </c>
      <c r="H77" t="inlineStr"/>
      <c r="I77" t="inlineStr"/>
      <c r="J77" t="n">
        <v>5.224</v>
      </c>
      <c r="K77" t="inlineStr">
        <is>
          <t>0.0%</t>
        </is>
      </c>
      <c r="L77" t="inlineStr">
        <is>
          <t>市價</t>
        </is>
      </c>
      <c r="M77" t="n">
        <v>20000000</v>
      </c>
      <c r="N77" t="n">
        <v>20000000</v>
      </c>
      <c r="O77" t="inlineStr">
        <is>
          <t>擴大資本基礎;償還債務</t>
        </is>
      </c>
      <c r="P77" t="inlineStr"/>
      <c r="Q77" t="inlineStr"/>
      <c r="R77" t="inlineStr"/>
      <c r="S77" t="inlineStr">
        <is>
          <t>待確認</t>
        </is>
      </c>
      <c r="T77" t="inlineStr">
        <is>
          <t>🟢 跟! | 極窄折讓0%❗=超高信心 | 💰 清債=拆彈</t>
        </is>
      </c>
    </row>
    <row r="78">
      <c r="A78" t="inlineStr">
        <is>
          <t>00080</t>
        </is>
      </c>
      <c r="B78" t="inlineStr">
        <is>
          <t>2025-12-17</t>
        </is>
      </c>
      <c r="C78" t="inlineStr">
        <is>
          <t>Issue_GM_Debt</t>
        </is>
      </c>
      <c r="D78" t="inlineStr">
        <is>
          <t>代價發行: 收購項目 購香港資產管理、證券諮詢及證券買賣服務,以及持牌虛擬資產交易平台業務</t>
        </is>
      </c>
      <c r="E78" t="inlineStr"/>
      <c r="F78" t="inlineStr">
        <is>
          <t>1.99億</t>
        </is>
      </c>
      <c r="G78" t="n">
        <v>0.36</v>
      </c>
      <c r="H78" t="inlineStr"/>
      <c r="I78" t="inlineStr"/>
      <c r="J78" t="n">
        <v>10.042</v>
      </c>
      <c r="K78" t="inlineStr">
        <is>
          <t>-5.3%</t>
        </is>
      </c>
      <c r="L78" t="inlineStr">
        <is>
          <t>市價</t>
        </is>
      </c>
      <c r="M78" t="n">
        <v>71600000</v>
      </c>
      <c r="N78" t="n">
        <v>71600000</v>
      </c>
      <c r="O78" t="inlineStr">
        <is>
          <t>收購項目 購香港資產管理、證券諮詢及證券買賣服務,以及持牌虛擬資產交易平台業務</t>
        </is>
      </c>
      <c r="P78" t="inlineStr"/>
      <c r="Q78" t="inlineStr"/>
      <c r="R78" t="inlineStr"/>
      <c r="S78" t="inlineStr">
        <is>
          <t>待確認</t>
        </is>
      </c>
      <c r="T78" t="inlineStr">
        <is>
          <t>🟢 跟! | 🤝 發股收購 | 窄折讓5%=高信心接貨</t>
        </is>
      </c>
    </row>
    <row r="79">
      <c r="A79" t="inlineStr">
        <is>
          <t>01870</t>
        </is>
      </c>
      <c r="B79" t="inlineStr">
        <is>
          <t>2025-12-09</t>
        </is>
      </c>
      <c r="C79" t="inlineStr">
        <is>
          <t>Placing_GM</t>
        </is>
      </c>
      <c r="D79" t="inlineStr">
        <is>
          <t>配售: 擴大資本基礎;業務發展</t>
        </is>
      </c>
      <c r="E79" t="inlineStr"/>
      <c r="F79" t="inlineStr">
        <is>
          <t>3.00千萬</t>
        </is>
      </c>
      <c r="G79" t="n">
        <v>0.55</v>
      </c>
      <c r="H79" t="inlineStr"/>
      <c r="I79" t="inlineStr"/>
      <c r="J79" t="n">
        <v>3.039</v>
      </c>
      <c r="K79" t="inlineStr">
        <is>
          <t>0.0%</t>
        </is>
      </c>
      <c r="L79" t="inlineStr">
        <is>
          <t>市價</t>
        </is>
      </c>
      <c r="M79" t="n">
        <v>16500000</v>
      </c>
      <c r="N79" t="n">
        <v>16500000</v>
      </c>
      <c r="O79" t="inlineStr">
        <is>
          <t>擴大資本基礎;業務發展</t>
        </is>
      </c>
      <c r="P79" t="inlineStr"/>
      <c r="Q79" t="inlineStr"/>
      <c r="R79" t="inlineStr"/>
      <c r="S79" t="inlineStr">
        <is>
          <t>待確認</t>
        </is>
      </c>
      <c r="T79" t="inlineStr">
        <is>
          <t>🟢 跟! | 極窄折讓0%❗=超高信心 | 📈 資金擴張</t>
        </is>
      </c>
    </row>
    <row r="80">
      <c r="A80" t="inlineStr">
        <is>
          <t>00174</t>
        </is>
      </c>
      <c r="B80" t="inlineStr">
        <is>
          <t>2026-06-05</t>
        </is>
      </c>
      <c r="C80" t="inlineStr">
        <is>
          <t>Placing_GM</t>
        </is>
      </c>
      <c r="D80" t="inlineStr">
        <is>
          <t>配售: 擴大資本基礎</t>
        </is>
      </c>
      <c r="E80" t="inlineStr"/>
      <c r="F80" t="inlineStr">
        <is>
          <t>9.53千萬</t>
        </is>
      </c>
      <c r="G80" t="n">
        <v>0.18</v>
      </c>
      <c r="H80" t="inlineStr"/>
      <c r="I80" t="inlineStr"/>
      <c r="J80" t="n">
        <v>15</v>
      </c>
      <c r="K80" t="inlineStr">
        <is>
          <t>-5.3%</t>
        </is>
      </c>
      <c r="L80" t="inlineStr">
        <is>
          <t>市價</t>
        </is>
      </c>
      <c r="M80" t="n">
        <v>17200000</v>
      </c>
      <c r="N80" t="n">
        <v>17200000</v>
      </c>
      <c r="O80" t="inlineStr">
        <is>
          <t>擴大資本基礎</t>
        </is>
      </c>
      <c r="P80" t="inlineStr"/>
      <c r="Q80" t="inlineStr"/>
      <c r="R80" t="inlineStr"/>
      <c r="S80" t="inlineStr">
        <is>
          <t>進行中</t>
        </is>
      </c>
      <c r="T80" t="inlineStr">
        <is>
          <t>🟢 跟 | 窄折讓5%=高信心接貨</t>
        </is>
      </c>
    </row>
    <row r="81">
      <c r="A81" t="inlineStr">
        <is>
          <t>01277</t>
        </is>
      </c>
      <c r="B81" t="inlineStr">
        <is>
          <t>2026-06-03</t>
        </is>
      </c>
      <c r="C81" t="inlineStr">
        <is>
          <t>Placing_GM</t>
        </is>
      </c>
      <c r="D81" t="inlineStr">
        <is>
          <t>配售: 擴大資本基礎;業務發展</t>
        </is>
      </c>
      <c r="E81" t="inlineStr"/>
      <c r="F81" t="inlineStr">
        <is>
          <t>1.70億</t>
        </is>
      </c>
      <c r="G81" t="n">
        <v>1.85</v>
      </c>
      <c r="H81" t="inlineStr"/>
      <c r="I81" t="inlineStr"/>
      <c r="J81" t="n">
        <v>2.011</v>
      </c>
      <c r="K81" t="inlineStr">
        <is>
          <t>-12.7%</t>
        </is>
      </c>
      <c r="L81" t="inlineStr">
        <is>
          <t>市價</t>
        </is>
      </c>
      <c r="M81" t="n">
        <v>314000000</v>
      </c>
      <c r="N81" t="n">
        <v>314000000</v>
      </c>
      <c r="O81" t="inlineStr">
        <is>
          <t>擴大資本基礎;業務發展</t>
        </is>
      </c>
      <c r="P81" t="inlineStr"/>
      <c r="Q81" t="inlineStr"/>
      <c r="R81" t="inlineStr"/>
      <c r="S81" t="inlineStr">
        <is>
          <t>進行中</t>
        </is>
      </c>
      <c r="T81" t="inlineStr">
        <is>
          <t>🟢 跟 | 窄折讓13%=高信心接貨 | 📈 資金擴張</t>
        </is>
      </c>
    </row>
  </sheetData>
  <hyperlinks>
    <hyperlink xmlns:r="http://schemas.openxmlformats.org/officeDocument/2006/relationships" ref="E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3.5"/>
  <cols>
    <col width="17.75" customWidth="1" min="1" max="1"/>
    <col width="42.75" customWidth="1" min="2" max="2"/>
    <col width="19.25" bestFit="1" customWidth="1" min="3" max="3"/>
    <col width="35.75" customWidth="1" min="4" max="4"/>
  </cols>
  <sheetData>
    <row r="1">
      <c r="A1" t="inlineStr">
        <is>
          <t>代碼</t>
        </is>
      </c>
      <c r="B1" t="inlineStr">
        <is>
          <t>HKEX Headline Category</t>
        </is>
      </c>
      <c r="C1" t="inlineStr">
        <is>
          <t>中文描述</t>
        </is>
      </c>
      <c r="D1" t="inlineStr">
        <is>
          <t>自動化搜尋關鍵字</t>
        </is>
      </c>
    </row>
    <row r="2">
      <c r="A2" t="inlineStr">
        <is>
          <t>Rights</t>
        </is>
      </c>
      <c r="B2" t="inlineStr">
        <is>
          <t>Rights Issue</t>
        </is>
      </c>
      <c r="C2" t="inlineStr">
        <is>
          <t>供股</t>
        </is>
      </c>
      <c r="D2" t="inlineStr">
        <is>
          <t>RIGHTS ISSUE, 供股</t>
        </is>
      </c>
    </row>
    <row r="3">
      <c r="A3" t="inlineStr">
        <is>
          <t>Placing</t>
        </is>
      </c>
      <c r="B3" t="inlineStr">
        <is>
          <t>Placing</t>
        </is>
      </c>
      <c r="C3" t="inlineStr">
        <is>
          <t>配售（舊股或新股）</t>
        </is>
      </c>
      <c r="D3" t="inlineStr">
        <is>
          <t>PLACING, 配售</t>
        </is>
      </c>
    </row>
    <row r="4">
      <c r="A4" t="inlineStr">
        <is>
          <t>Placing_GM</t>
        </is>
      </c>
      <c r="B4" t="inlineStr">
        <is>
          <t>Issue of Shares under a General Mandate</t>
        </is>
      </c>
      <c r="C4" t="inlineStr">
        <is>
          <t>一般授權配售新股</t>
        </is>
      </c>
      <c r="D4" t="inlineStr">
        <is>
          <t>PLACING, GENERAL MANDATE, 一般授權</t>
        </is>
      </c>
    </row>
    <row r="5">
      <c r="A5" t="inlineStr">
        <is>
          <t>Placing_SM</t>
        </is>
      </c>
      <c r="B5" t="inlineStr">
        <is>
          <t>Issue of Shares under a Specific Mandate</t>
        </is>
      </c>
      <c r="C5" t="inlineStr">
        <is>
          <t>特別授權配售新股</t>
        </is>
      </c>
      <c r="D5" t="inlineStr">
        <is>
          <t>PLACING, SPECIFIC MANDATE, 特別授權</t>
        </is>
      </c>
    </row>
    <row r="6">
      <c r="A6" t="inlineStr">
        <is>
          <t>Subscription_GM</t>
        </is>
      </c>
      <c r="B6" t="inlineStr">
        <is>
          <t>Issue of Shares under a General Mandate</t>
        </is>
      </c>
      <c r="C6" t="inlineStr">
        <is>
          <t>一般授權認購新股</t>
        </is>
      </c>
      <c r="D6" t="inlineStr">
        <is>
          <t>SUBSCRIPTION, GENERAL MANDATE, 認購</t>
        </is>
      </c>
    </row>
    <row r="7">
      <c r="A7" t="inlineStr">
        <is>
          <t>Subscription_SM</t>
        </is>
      </c>
      <c r="B7" t="inlineStr">
        <is>
          <t>Issue of Shares under a Specific Mandate</t>
        </is>
      </c>
      <c r="C7" t="inlineStr">
        <is>
          <t>特別授權認購新股</t>
        </is>
      </c>
      <c r="D7" t="inlineStr">
        <is>
          <t>SUBSCRIPTION, SPECIFIC MANDATE</t>
        </is>
      </c>
    </row>
    <row r="8">
      <c r="A8" t="inlineStr">
        <is>
          <t>Issue_GM_Debt</t>
        </is>
      </c>
      <c r="B8" t="inlineStr">
        <is>
          <t>Consideration Issue</t>
        </is>
      </c>
      <c r="C8" t="inlineStr">
        <is>
          <t>發股清債／代價股份</t>
        </is>
      </c>
      <c r="D8" t="inlineStr">
        <is>
          <t>CONSIDERATION, DEBT, 債務, 清償</t>
        </is>
      </c>
    </row>
    <row r="9">
      <c r="A9" t="inlineStr">
        <is>
          <t>OpenOffer</t>
        </is>
      </c>
      <c r="B9" t="inlineStr">
        <is>
          <t>Open Offer</t>
        </is>
      </c>
      <c r="C9" t="inlineStr">
        <is>
          <t>公開發售</t>
        </is>
      </c>
      <c r="D9" t="inlineStr">
        <is>
          <t>OPEN OFFER</t>
        </is>
      </c>
    </row>
    <row r="10">
      <c r="A10" t="inlineStr">
        <is>
          <t>Completion</t>
        </is>
      </c>
      <c r="B10" t="inlineStr">
        <is>
          <t>Placing / Rights Issue</t>
        </is>
      </c>
      <c r="C10" t="inlineStr">
        <is>
          <t>完成配售／供股</t>
        </is>
      </c>
      <c r="D10" t="inlineStr">
        <is>
          <t>COMPLETION, 完成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F12" sqref="F12"/>
    </sheetView>
  </sheetViews>
  <sheetFormatPr baseColWidth="8" defaultRowHeight="13.5"/>
  <cols>
    <col width="12.75" customWidth="1" min="1" max="1"/>
    <col width="8.75" customWidth="1" min="2" max="3"/>
    <col width="15.75" customWidth="1" min="4" max="4"/>
    <col width="21.75" customWidth="1" min="5" max="5"/>
    <col width="21.25" bestFit="1" customWidth="1" min="6" max="6"/>
    <col width="28.75" customWidth="1" min="7" max="7"/>
  </cols>
  <sheetData>
    <row r="1">
      <c r="A1" t="inlineStr">
        <is>
          <t>欄位名</t>
        </is>
      </c>
      <c r="B1" t="inlineStr">
        <is>
          <t>精簡版</t>
        </is>
      </c>
      <c r="C1" t="inlineStr">
        <is>
          <t>詳細版</t>
        </is>
      </c>
      <c r="D1" t="inlineStr">
        <is>
          <t>數據類型</t>
        </is>
      </c>
      <c r="E1" t="inlineStr">
        <is>
          <t>來源</t>
        </is>
      </c>
      <c r="F1" t="inlineStr">
        <is>
          <t>自動化方法</t>
        </is>
      </c>
      <c r="G1" t="inlineStr">
        <is>
          <t>用途說明</t>
        </is>
      </c>
    </row>
    <row r="2">
      <c r="A2" t="inlineStr">
        <is>
          <t>股票代號</t>
        </is>
      </c>
      <c r="B2" t="inlineStr">
        <is>
          <t>✓</t>
        </is>
      </c>
      <c r="C2" t="inlineStr">
        <is>
          <t>✓</t>
        </is>
      </c>
      <c r="D2" t="inlineStr">
        <is>
          <t>文本</t>
        </is>
      </c>
      <c r="E2" t="inlineStr">
        <is>
          <t>用戶輸入</t>
        </is>
      </c>
      <c r="F2" t="inlineStr">
        <is>
          <t>參數</t>
        </is>
      </c>
      <c r="G2" t="inlineStr">
        <is>
          <t>標識股票</t>
        </is>
      </c>
    </row>
    <row r="3">
      <c r="A3" t="inlineStr">
        <is>
          <t>公告日期</t>
        </is>
      </c>
      <c r="B3" t="inlineStr">
        <is>
          <t>✓</t>
        </is>
      </c>
      <c r="C3" t="inlineStr">
        <is>
          <t>✓</t>
        </is>
      </c>
      <c r="D3" t="inlineStr">
        <is>
          <t>日期 YYYY-MM-DD</t>
        </is>
      </c>
      <c r="E3" t="inlineStr">
        <is>
          <t>HKEX Title Search</t>
        </is>
      </c>
      <c r="F3" t="inlineStr">
        <is>
          <t>爬蟲抓 Release Date</t>
        </is>
      </c>
      <c r="G3" t="inlineStr">
        <is>
          <t>時間軸排序</t>
        </is>
      </c>
    </row>
    <row r="4">
      <c r="A4" t="inlineStr">
        <is>
          <t>類型碼</t>
        </is>
      </c>
      <c r="B4" t="inlineStr">
        <is>
          <t>✓</t>
        </is>
      </c>
      <c r="D4" t="inlineStr">
        <is>
          <t>代碼</t>
        </is>
      </c>
      <c r="E4" t="inlineStr">
        <is>
          <t>標題匹配</t>
        </is>
      </c>
      <c r="F4" t="inlineStr">
        <is>
          <t>關鍵字正則</t>
        </is>
      </c>
      <c r="G4" t="inlineStr">
        <is>
          <t>機器判斷事件類型</t>
        </is>
      </c>
    </row>
    <row r="5">
      <c r="A5" t="inlineStr">
        <is>
          <t>文件類型</t>
        </is>
      </c>
      <c r="C5" t="inlineStr">
        <is>
          <t>✓</t>
        </is>
      </c>
      <c r="D5" t="inlineStr">
        <is>
          <t>文本</t>
        </is>
      </c>
      <c r="E5" t="inlineStr">
        <is>
          <t>類型碼對照表</t>
        </is>
      </c>
      <c r="F5" t="inlineStr">
        <is>
          <t>mapping</t>
        </is>
      </c>
      <c r="G5" t="inlineStr">
        <is>
          <t>人類閱讀用</t>
        </is>
      </c>
    </row>
    <row r="6">
      <c r="A6" t="inlineStr">
        <is>
          <t>事件簡述</t>
        </is>
      </c>
      <c r="C6" t="inlineStr">
        <is>
          <t>✓</t>
        </is>
      </c>
      <c r="D6" t="inlineStr">
        <is>
          <t>文本</t>
        </is>
      </c>
      <c r="E6" t="inlineStr">
        <is>
          <t>GPT 摘要</t>
        </is>
      </c>
      <c r="F6" t="inlineStr">
        <is>
          <t>LLM</t>
        </is>
      </c>
      <c r="G6" t="inlineStr">
        <is>
          <t>快速理解公告</t>
        </is>
      </c>
    </row>
    <row r="7">
      <c r="A7" t="inlineStr">
        <is>
          <t>HKEX_PDF連結</t>
        </is>
      </c>
      <c r="C7" t="inlineStr">
        <is>
          <t>✓</t>
        </is>
      </c>
      <c r="D7" t="inlineStr">
        <is>
          <t>URL</t>
        </is>
      </c>
      <c r="E7" t="inlineStr">
        <is>
          <t>Title Search</t>
        </is>
      </c>
      <c r="F7" t="inlineStr">
        <is>
          <t>抓 href</t>
        </is>
      </c>
      <c r="G7" t="inlineStr">
        <is>
          <t>點擊查看原文</t>
        </is>
      </c>
    </row>
    <row r="8">
      <c r="A8" t="inlineStr">
        <is>
          <t>新股數</t>
        </is>
      </c>
      <c r="B8" t="inlineStr">
        <is>
          <t>✓</t>
        </is>
      </c>
      <c r="D8" t="inlineStr">
        <is>
          <t>數字</t>
        </is>
      </c>
      <c r="E8" t="inlineStr">
        <is>
          <t>PDF 內文</t>
        </is>
      </c>
      <c r="F8" t="inlineStr">
        <is>
          <t>OCR + GPT</t>
        </is>
      </c>
      <c r="G8" t="inlineStr">
        <is>
          <t>簡版用縮寫</t>
        </is>
      </c>
    </row>
    <row r="9">
      <c r="A9" t="inlineStr">
        <is>
          <t>新股數量</t>
        </is>
      </c>
      <c r="C9" t="inlineStr">
        <is>
          <t>✓</t>
        </is>
      </c>
      <c r="D9" t="inlineStr">
        <is>
          <t>數字</t>
        </is>
      </c>
      <c r="E9" t="inlineStr">
        <is>
          <t>PDF 內文</t>
        </is>
      </c>
      <c r="F9" t="inlineStr">
        <is>
          <t>OCR + GPT</t>
        </is>
      </c>
      <c r="G9" t="inlineStr">
        <is>
          <t>詳版用全稱</t>
        </is>
      </c>
    </row>
    <row r="10">
      <c r="A10" t="inlineStr">
        <is>
          <t>發行價</t>
        </is>
      </c>
      <c r="B10" t="inlineStr">
        <is>
          <t>✓</t>
        </is>
      </c>
      <c r="C10" t="inlineStr">
        <is>
          <t>✓</t>
        </is>
      </c>
      <c r="D10" t="inlineStr">
        <is>
          <t>數字</t>
        </is>
      </c>
      <c r="E10" t="inlineStr">
        <is>
          <t>PDF 內文</t>
        </is>
      </c>
      <c r="F10" t="inlineStr">
        <is>
          <t>OCR + GPT</t>
        </is>
      </c>
      <c r="G10" t="inlineStr">
        <is>
          <t>Subscription/Placing Price</t>
        </is>
      </c>
    </row>
    <row r="11">
      <c r="A11" t="inlineStr">
        <is>
          <t>股本前</t>
        </is>
      </c>
      <c r="C11" t="inlineStr">
        <is>
          <t>✓</t>
        </is>
      </c>
      <c r="D11" t="inlineStr">
        <is>
          <t>數字</t>
        </is>
      </c>
      <c r="E11" t="inlineStr">
        <is>
          <t>Monthly Return</t>
        </is>
      </c>
      <c r="F11" t="inlineStr">
        <is>
          <t>抓 FF305</t>
        </is>
      </c>
      <c r="G11" t="inlineStr">
        <is>
          <t>詳版才需要前後對比</t>
        </is>
      </c>
    </row>
    <row r="12">
      <c r="A12" t="inlineStr">
        <is>
          <t>股本後</t>
        </is>
      </c>
      <c r="B12" t="inlineStr">
        <is>
          <t>✓</t>
        </is>
      </c>
      <c r="C12" t="inlineStr">
        <is>
          <t>✓</t>
        </is>
      </c>
      <c r="D12" t="inlineStr">
        <is>
          <t>數字</t>
        </is>
      </c>
      <c r="E12" t="inlineStr">
        <is>
          <t>計算</t>
        </is>
      </c>
      <c r="F12">
        <f>股本前+新股</f>
        <v/>
      </c>
      <c r="G12" t="inlineStr">
        <is>
          <t>用於計算攤薄</t>
        </is>
      </c>
    </row>
    <row r="13">
      <c r="A13" t="inlineStr">
        <is>
          <t>攤薄%</t>
        </is>
      </c>
      <c r="B13" t="inlineStr">
        <is>
          <t>✓</t>
        </is>
      </c>
      <c r="C13" t="inlineStr">
        <is>
          <t>✓</t>
        </is>
      </c>
      <c r="D13" t="inlineStr">
        <is>
          <t>數字</t>
        </is>
      </c>
      <c r="E13" t="inlineStr">
        <is>
          <t>計算</t>
        </is>
      </c>
      <c r="F13">
        <f>新股/股本後*100</f>
        <v/>
      </c>
      <c r="G13" t="inlineStr">
        <is>
          <t>關鍵指標</t>
        </is>
      </c>
    </row>
    <row r="14">
      <c r="A14" t="inlineStr">
        <is>
          <t>折溢價%</t>
        </is>
      </c>
      <c r="B14" t="inlineStr">
        <is>
          <t>✓</t>
        </is>
      </c>
      <c r="C14" t="inlineStr">
        <is>
          <t>✓</t>
        </is>
      </c>
      <c r="D14" t="inlineStr">
        <is>
          <t>數字</t>
        </is>
      </c>
      <c r="E14" t="inlineStr">
        <is>
          <t>PDF 或計算</t>
        </is>
      </c>
      <c r="F14" t="inlineStr">
        <is>
          <t>OCR 或公式</t>
        </is>
      </c>
      <c r="G14" t="inlineStr">
        <is>
          <t>作價評估</t>
        </is>
      </c>
    </row>
    <row r="15">
      <c r="A15" t="inlineStr">
        <is>
          <t>折溢價基準</t>
        </is>
      </c>
      <c r="C15" t="inlineStr">
        <is>
          <t>✓</t>
        </is>
      </c>
      <c r="D15" t="inlineStr">
        <is>
          <t>文本</t>
        </is>
      </c>
      <c r="E15" t="inlineStr">
        <is>
          <t>PDF</t>
        </is>
      </c>
      <c r="F15" t="inlineStr">
        <is>
          <t>OCR</t>
        </is>
      </c>
      <c r="G15" t="inlineStr">
        <is>
          <t>說明折溢價參考價</t>
        </is>
      </c>
    </row>
    <row r="16">
      <c r="A16" t="inlineStr">
        <is>
          <t>集資額</t>
        </is>
      </c>
      <c r="B16" t="inlineStr">
        <is>
          <t>✓</t>
        </is>
      </c>
      <c r="D16" t="inlineStr">
        <is>
          <t>數字</t>
        </is>
      </c>
      <c r="E16" t="inlineStr">
        <is>
          <t>PDF</t>
        </is>
      </c>
      <c r="F16" t="inlineStr">
        <is>
          <t>OCR</t>
        </is>
      </c>
      <c r="G16" t="inlineStr">
        <is>
          <t>精版用單一欄位</t>
        </is>
      </c>
    </row>
    <row r="17">
      <c r="A17" t="inlineStr">
        <is>
          <t>集資額毛</t>
        </is>
      </c>
      <c r="C17" t="inlineStr">
        <is>
          <t>✓</t>
        </is>
      </c>
      <c r="D17" t="inlineStr">
        <is>
          <t>數字</t>
        </is>
      </c>
      <c r="E17" t="inlineStr">
        <is>
          <t>PDF</t>
        </is>
      </c>
      <c r="F17" t="inlineStr">
        <is>
          <t>OCR</t>
        </is>
      </c>
      <c r="G17" t="inlineStr">
        <is>
          <t>Gross proceeds</t>
        </is>
      </c>
    </row>
    <row r="18">
      <c r="A18" t="inlineStr">
        <is>
          <t>集資額淨</t>
        </is>
      </c>
      <c r="C18" t="inlineStr">
        <is>
          <t>✓</t>
        </is>
      </c>
      <c r="D18" t="inlineStr">
        <is>
          <t>數字</t>
        </is>
      </c>
      <c r="E18" t="inlineStr">
        <is>
          <t>PDF</t>
        </is>
      </c>
      <c r="F18" t="inlineStr">
        <is>
          <t>OCR</t>
        </is>
      </c>
      <c r="G18" t="inlineStr">
        <is>
          <t>Net proceeds</t>
        </is>
      </c>
    </row>
    <row r="19">
      <c r="A19" t="inlineStr">
        <is>
          <t>用途</t>
        </is>
      </c>
      <c r="C19" t="inlineStr">
        <is>
          <t>✓</t>
        </is>
      </c>
      <c r="D19" t="inlineStr">
        <is>
          <t>文本</t>
        </is>
      </c>
      <c r="E19" t="inlineStr">
        <is>
          <t>PDF Use of Proceeds</t>
        </is>
      </c>
      <c r="F19" t="inlineStr">
        <is>
          <t>OCR + GPT</t>
        </is>
      </c>
      <c r="G19" t="inlineStr">
        <is>
          <t>資金用途分析</t>
        </is>
      </c>
    </row>
    <row r="20">
      <c r="A20" t="inlineStr">
        <is>
          <t>認購人／配售對象</t>
        </is>
      </c>
      <c r="C20" t="inlineStr">
        <is>
          <t>✓</t>
        </is>
      </c>
      <c r="D20" t="inlineStr">
        <is>
          <t>文本</t>
        </is>
      </c>
      <c r="E20" t="inlineStr">
        <is>
          <t>PDF</t>
        </is>
      </c>
      <c r="F20" t="inlineStr">
        <is>
          <t>OCR + NER</t>
        </is>
      </c>
      <c r="G20" t="inlineStr">
        <is>
          <t>識別關鍵人物</t>
        </is>
      </c>
    </row>
    <row r="21">
      <c r="A21" t="inlineStr">
        <is>
          <t>完成日期</t>
        </is>
      </c>
      <c r="B21" t="inlineStr">
        <is>
          <t>✓</t>
        </is>
      </c>
      <c r="C21" t="inlineStr">
        <is>
          <t>✓</t>
        </is>
      </c>
      <c r="D21" t="inlineStr">
        <is>
          <t>日期</t>
        </is>
      </c>
      <c r="E21" t="inlineStr">
        <is>
          <t>Completion 公告</t>
        </is>
      </c>
      <c r="F21" t="inlineStr">
        <is>
          <t>爬第二份</t>
        </is>
      </c>
      <c r="G21" t="inlineStr">
        <is>
          <t>落地時間</t>
        </is>
      </c>
    </row>
    <row r="22">
      <c r="A22" t="inlineStr">
        <is>
          <t>股東會日期</t>
        </is>
      </c>
      <c r="C22" t="inlineStr">
        <is>
          <t>✓</t>
        </is>
      </c>
      <c r="D22" t="inlineStr">
        <is>
          <t>日期</t>
        </is>
      </c>
      <c r="E22" t="inlineStr">
        <is>
          <t>EGM 公告</t>
        </is>
      </c>
      <c r="F22" t="inlineStr">
        <is>
          <t>爬蟲</t>
        </is>
      </c>
      <c r="G22" t="inlineStr">
        <is>
          <t>需股東批准的標記</t>
        </is>
      </c>
    </row>
    <row r="23">
      <c r="A23" t="inlineStr">
        <is>
          <t>狀態</t>
        </is>
      </c>
      <c r="B23" t="inlineStr">
        <is>
          <t>✓</t>
        </is>
      </c>
      <c r="C23" t="inlineStr">
        <is>
          <t>✓</t>
        </is>
      </c>
      <c r="D23" t="inlineStr">
        <is>
          <t>文本</t>
        </is>
      </c>
      <c r="E23" t="inlineStr">
        <is>
          <t>邏輯</t>
        </is>
      </c>
      <c r="F23" t="inlineStr">
        <is>
          <t>IF 完成日期存在</t>
        </is>
      </c>
      <c r="G23" t="inlineStr">
        <is>
          <t>完成/進行中/終止</t>
        </is>
      </c>
    </row>
    <row r="24">
      <c r="A24" t="inlineStr">
        <is>
          <t>備註</t>
        </is>
      </c>
      <c r="C24" t="inlineStr">
        <is>
          <t>✓</t>
        </is>
      </c>
      <c r="D24" t="inlineStr">
        <is>
          <t>文本</t>
        </is>
      </c>
      <c r="E24" t="inlineStr">
        <is>
          <t>手動或 GPT</t>
        </is>
      </c>
      <c r="F24" t="inlineStr">
        <is>
          <t>LLM 摘要</t>
        </is>
      </c>
      <c r="G24" t="inlineStr">
        <is>
          <t>財技分析重點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3.5"/>
  <cols>
    <col width="12.75" customWidth="1" min="1" max="1"/>
    <col width="15.75" customWidth="1" min="2" max="2"/>
    <col width="30.75" customWidth="1" min="3" max="3"/>
    <col width="15.75" customWidth="1" min="4" max="4"/>
    <col width="9.75" customWidth="1" min="5" max="5"/>
    <col width="11.75" customWidth="1" min="6" max="6"/>
    <col width="8.75" customWidth="1" min="7" max="7"/>
    <col width="11.75" customWidth="1" min="8" max="8"/>
  </cols>
  <sheetData>
    <row r="1">
      <c r="A1" t="inlineStr">
        <is>
          <t>日期</t>
        </is>
      </c>
      <c r="B1" t="inlineStr">
        <is>
          <t>券商／銀行代號</t>
        </is>
      </c>
      <c r="C1" t="inlineStr">
        <is>
          <t>參與者名稱</t>
        </is>
      </c>
      <c r="D1" t="inlineStr">
        <is>
          <t>持股數量</t>
        </is>
      </c>
      <c r="E1" t="inlineStr">
        <is>
          <t>占已發行股本%</t>
        </is>
      </c>
      <c r="F1" t="inlineStr">
        <is>
          <t>較上次變動</t>
        </is>
      </c>
      <c r="G1" t="inlineStr">
        <is>
          <t>變動%</t>
        </is>
      </c>
      <c r="H1" t="inlineStr">
        <is>
          <t>備註</t>
        </is>
      </c>
    </row>
    <row r="2">
      <c r="A2" t="inlineStr">
        <is>
          <t>2025-06-01</t>
        </is>
      </c>
      <c r="B2" t="inlineStr">
        <is>
          <t>C00001</t>
        </is>
      </c>
      <c r="C2" t="inlineStr">
        <is>
          <t>中銀香港</t>
        </is>
      </c>
      <c r="D2" t="inlineStr">
        <is>
          <t>12000000</t>
        </is>
      </c>
      <c r="E2" t="n">
        <v>3.2</v>
      </c>
    </row>
    <row r="3">
      <c r="A3" t="inlineStr">
        <is>
          <t>2025-06-15</t>
        </is>
      </c>
      <c r="B3" t="inlineStr">
        <is>
          <t>C00001</t>
        </is>
      </c>
      <c r="C3" t="inlineStr">
        <is>
          <t>中銀香港</t>
        </is>
      </c>
      <c r="D3" t="inlineStr">
        <is>
          <t>15000000</t>
        </is>
      </c>
      <c r="E3" t="n">
        <v>4</v>
      </c>
      <c r="F3" t="n">
        <v>3000000</v>
      </c>
      <c r="G3" t="n">
        <v>25</v>
      </c>
      <c r="H3" t="inlineStr">
        <is>
          <t>增持</t>
        </is>
      </c>
    </row>
    <row r="4">
      <c r="A4" t="inlineStr">
        <is>
          <t>2025-07-01</t>
        </is>
      </c>
      <c r="B4" t="inlineStr">
        <is>
          <t>C00001</t>
        </is>
      </c>
      <c r="C4" t="inlineStr">
        <is>
          <t>中銀香港</t>
        </is>
      </c>
      <c r="D4" t="inlineStr">
        <is>
          <t>18500000</t>
        </is>
      </c>
      <c r="E4" t="n">
        <v>4.9</v>
      </c>
      <c r="F4" t="n">
        <v>3500000</v>
      </c>
      <c r="G4" t="n">
        <v>23.3</v>
      </c>
    </row>
    <row r="5">
      <c r="A5" t="inlineStr">
        <is>
          <t>2025-07-15</t>
        </is>
      </c>
      <c r="B5" t="inlineStr">
        <is>
          <t>C00001</t>
        </is>
      </c>
      <c r="C5" t="inlineStr">
        <is>
          <t>中銀香港</t>
        </is>
      </c>
      <c r="D5" t="inlineStr">
        <is>
          <t>25000000</t>
        </is>
      </c>
      <c r="E5" t="n">
        <v>6.5</v>
      </c>
      <c r="F5" t="n">
        <v>6500000</v>
      </c>
      <c r="G5" t="n">
        <v>35.1</v>
      </c>
      <c r="H5" t="inlineStr">
        <is>
          <t>突破 5% 披露線</t>
        </is>
      </c>
    </row>
    <row r="6">
      <c r="A6" t="inlineStr">
        <is>
          <t>2025-08-01</t>
        </is>
      </c>
      <c r="B6" t="inlineStr">
        <is>
          <t>C00002</t>
        </is>
      </c>
      <c r="C6" t="inlineStr">
        <is>
          <t>其他券商</t>
        </is>
      </c>
      <c r="D6" t="inlineStr">
        <is>
          <t>8000000</t>
        </is>
      </c>
      <c r="E6" t="n">
        <v>2.1</v>
      </c>
    </row>
    <row r="8" ht="15" customHeight="1">
      <c r="A8" t="inlineStr">
        <is>
          <t>說明：</t>
        </is>
      </c>
      <c r="B8" t="inlineStr">
        <is>
          <t>數據來源 HKEX SDW</t>
        </is>
      </c>
      <c r="C8" s="1" t="inlineStr">
        <is>
          <t>https://www.hkexnews.hk/sdw/</t>
        </is>
      </c>
      <c r="D8" t="inlineStr">
        <is>
          <t>需手動下載 CSV 後貼入</t>
        </is>
      </c>
    </row>
  </sheetData>
  <hyperlinks>
    <hyperlink xmlns:r="http://schemas.openxmlformats.org/officeDocument/2006/relationships" ref="C8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G45" sqref="G45"/>
    </sheetView>
  </sheetViews>
  <sheetFormatPr baseColWidth="8" defaultRowHeight="13.5"/>
  <cols>
    <col width="12.75" customWidth="1" min="1" max="1"/>
    <col width="39.75" customWidth="1" min="2" max="2"/>
    <col width="8.75" customWidth="1" min="3" max="5"/>
    <col width="13.75" customWidth="1" min="6" max="7"/>
    <col width="8.75" customWidth="1" min="8" max="8"/>
    <col width="9.75" customWidth="1" min="9" max="9"/>
    <col width="12.75" customWidth="1" min="10" max="10"/>
  </cols>
  <sheetData>
    <row r="1">
      <c r="A1" t="inlineStr">
        <is>
          <t>日期</t>
        </is>
      </c>
      <c r="B1" t="inlineStr">
        <is>
          <t>開市價</t>
        </is>
      </c>
      <c r="C1" t="inlineStr">
        <is>
          <t>最高</t>
        </is>
      </c>
      <c r="D1" t="inlineStr">
        <is>
          <t>最低</t>
        </is>
      </c>
      <c r="E1" t="inlineStr">
        <is>
          <t>收市價</t>
        </is>
      </c>
      <c r="F1" t="inlineStr">
        <is>
          <t>成交量</t>
        </is>
      </c>
      <c r="G1" t="inlineStr">
        <is>
          <t>成交額 (HKD)</t>
        </is>
      </c>
      <c r="H1" t="inlineStr">
        <is>
          <t>日內波幅%</t>
        </is>
      </c>
      <c r="I1" t="inlineStr">
        <is>
          <t>較前收市漲跌%</t>
        </is>
      </c>
      <c r="J1" t="inlineStr">
        <is>
          <t>技術位／備註</t>
        </is>
      </c>
    </row>
    <row r="2">
      <c r="A2" t="inlineStr">
        <is>
          <t>2025-09-20</t>
        </is>
      </c>
      <c r="B2" t="inlineStr">
        <is>
          <t>0.170</t>
        </is>
      </c>
      <c r="C2" t="n">
        <v>0.18</v>
      </c>
      <c r="D2" t="n">
        <v>0.165</v>
      </c>
      <c r="E2" t="n">
        <v>0.175</v>
      </c>
      <c r="F2" t="n">
        <v>5200000</v>
      </c>
      <c r="G2" t="n">
        <v>900000</v>
      </c>
      <c r="H2" t="n">
        <v>8.800000000000001</v>
      </c>
      <c r="I2" t="n">
        <v>2.9</v>
      </c>
      <c r="J2" t="inlineStr">
        <is>
          <t>平台整固</t>
        </is>
      </c>
    </row>
    <row r="3">
      <c r="A3" t="inlineStr">
        <is>
          <t>2025-09-26</t>
        </is>
      </c>
      <c r="B3" t="inlineStr">
        <is>
          <t>0.175</t>
        </is>
      </c>
      <c r="C3" t="n">
        <v>0.19</v>
      </c>
      <c r="D3" t="n">
        <v>0.172</v>
      </c>
      <c r="E3" t="n">
        <v>0.185</v>
      </c>
      <c r="F3" t="n">
        <v>12500000</v>
      </c>
      <c r="G3" t="n">
        <v>2250000</v>
      </c>
      <c r="H3" t="n">
        <v>10.5</v>
      </c>
      <c r="I3" t="n">
        <v>5.7</v>
      </c>
      <c r="J3" t="inlineStr">
        <is>
          <t>配股公告日；成交放大</t>
        </is>
      </c>
    </row>
    <row r="4">
      <c r="A4" t="inlineStr">
        <is>
          <t>2025-10-15</t>
        </is>
      </c>
      <c r="B4" t="inlineStr">
        <is>
          <t>0.200</t>
        </is>
      </c>
      <c r="C4" t="n">
        <v>0.23</v>
      </c>
      <c r="D4" t="n">
        <v>0.195</v>
      </c>
      <c r="E4" t="n">
        <v>0.22</v>
      </c>
      <c r="F4" t="n">
        <v>35000000</v>
      </c>
      <c r="G4" t="n">
        <v>7500000</v>
      </c>
      <c r="H4" t="n">
        <v>17.5</v>
      </c>
      <c r="I4" t="n">
        <v>10</v>
      </c>
      <c r="J4" t="inlineStr">
        <is>
          <t>突破 0.20 平台</t>
        </is>
      </c>
    </row>
    <row r="5">
      <c r="A5" t="inlineStr">
        <is>
          <t>2025-11-05</t>
        </is>
      </c>
      <c r="B5" t="inlineStr">
        <is>
          <t>0.380</t>
        </is>
      </c>
      <c r="C5" t="n">
        <v>0.52</v>
      </c>
      <c r="D5" t="n">
        <v>0.36</v>
      </c>
      <c r="E5" t="n">
        <v>0.48</v>
      </c>
      <c r="F5" t="n">
        <v>125000000</v>
      </c>
      <c r="G5" t="n">
        <v>55000000</v>
      </c>
      <c r="H5" t="n">
        <v>42.1</v>
      </c>
      <c r="I5" t="n">
        <v>26.3</v>
      </c>
      <c r="J5" t="inlineStr">
        <is>
          <t>暴量急升</t>
        </is>
      </c>
    </row>
    <row r="6">
      <c r="A6" t="inlineStr">
        <is>
          <t>2025-11-20</t>
        </is>
      </c>
      <c r="B6" t="inlineStr">
        <is>
          <t>0.650</t>
        </is>
      </c>
      <c r="C6" t="n">
        <v>0.72</v>
      </c>
      <c r="D6" t="n">
        <v>0.58</v>
      </c>
      <c r="E6" t="n">
        <v>0.68</v>
      </c>
      <c r="F6" t="n">
        <v>180000000</v>
      </c>
      <c r="G6" t="n">
        <v>118000000</v>
      </c>
      <c r="H6" t="n">
        <v>21.5</v>
      </c>
      <c r="I6" t="n">
        <v>41.7</v>
      </c>
      <c r="J6" t="inlineStr">
        <is>
          <t>升浪高潮</t>
        </is>
      </c>
    </row>
    <row r="7">
      <c r="A7" t="inlineStr">
        <is>
          <t>2025-12-10</t>
        </is>
      </c>
      <c r="B7" t="inlineStr">
        <is>
          <t>0.600</t>
        </is>
      </c>
      <c r="C7" t="n">
        <v>0.65</v>
      </c>
      <c r="D7" t="n">
        <v>0.52</v>
      </c>
      <c r="E7" t="n">
        <v>0.5600000000000001</v>
      </c>
      <c r="F7" t="n">
        <v>95000000</v>
      </c>
      <c r="G7" t="n">
        <v>54000000</v>
      </c>
      <c r="H7" t="n">
        <v>25</v>
      </c>
      <c r="I7" t="n">
        <v>-17.6</v>
      </c>
      <c r="J7" t="inlineStr">
        <is>
          <t>高位派貨</t>
        </is>
      </c>
    </row>
    <row r="9">
      <c r="A9" t="inlineStr">
        <is>
          <t>說明：</t>
        </is>
      </c>
      <c r="B9" t="inlineStr">
        <is>
          <t>價量數據可從 Yahoo Finance / TradingView 匯出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3.5"/>
  <cols>
    <col width="12.75" customWidth="1" min="1" max="1"/>
    <col width="21.75" customWidth="1" min="2" max="2"/>
    <col width="8.75" customWidth="1" min="3" max="4"/>
    <col width="13.75" customWidth="1" min="5" max="5"/>
    <col width="12.75" customWidth="1" min="6" max="6"/>
    <col width="8.75" customWidth="1" min="7" max="8"/>
    <col width="12.75" customWidth="1" min="9" max="9"/>
    <col width="8.75" customWidth="1" min="10" max="10"/>
  </cols>
  <sheetData>
    <row r="1">
      <c r="A1" t="inlineStr">
        <is>
          <t>披露日期</t>
        </is>
      </c>
      <c r="B1" t="inlineStr">
        <is>
          <t>股東名稱</t>
        </is>
      </c>
      <c r="C1" t="inlineStr">
        <is>
          <t>身份</t>
        </is>
      </c>
      <c r="D1" t="inlineStr">
        <is>
          <t>變動類型</t>
        </is>
      </c>
      <c r="E1" t="inlineStr">
        <is>
          <t>變動股數</t>
        </is>
      </c>
      <c r="F1" t="inlineStr">
        <is>
          <t>變動後持股</t>
        </is>
      </c>
      <c r="G1" t="inlineStr">
        <is>
          <t>變動後持股%</t>
        </is>
      </c>
      <c r="H1" t="inlineStr">
        <is>
          <t>成交價</t>
        </is>
      </c>
      <c r="I1" t="inlineStr">
        <is>
          <t>成交額</t>
        </is>
      </c>
      <c r="J1" t="inlineStr">
        <is>
          <t>備註</t>
        </is>
      </c>
    </row>
    <row r="2">
      <c r="A2" t="inlineStr">
        <is>
          <t>2025-09-26</t>
        </is>
      </c>
      <c r="B2" t="inlineStr">
        <is>
          <t>曾境烽</t>
        </is>
      </c>
      <c r="C2" t="inlineStr">
        <is>
          <t>認購人</t>
        </is>
      </c>
      <c r="D2" t="inlineStr">
        <is>
          <t>認購</t>
        </is>
      </c>
      <c r="E2" t="n">
        <v>19137888</v>
      </c>
      <c r="F2" t="n">
        <v>19137888</v>
      </c>
      <c r="G2" t="n">
        <v>4.91</v>
      </c>
      <c r="H2" t="n">
        <v>0.185</v>
      </c>
      <c r="I2" t="n">
        <v>3540509</v>
      </c>
      <c r="J2" t="inlineStr">
        <is>
          <t>溢價認購</t>
        </is>
      </c>
    </row>
    <row r="3">
      <c r="A3" t="inlineStr">
        <is>
          <t>2025-11-15</t>
        </is>
      </c>
      <c r="B3" t="inlineStr">
        <is>
          <t>某股東A</t>
        </is>
      </c>
      <c r="C3" t="inlineStr">
        <is>
          <t>主要股東</t>
        </is>
      </c>
      <c r="D3" t="inlineStr">
        <is>
          <t>增持</t>
        </is>
      </c>
      <c r="E3" t="n">
        <v>25000000</v>
      </c>
      <c r="F3" t="n">
        <v>28000000</v>
      </c>
      <c r="G3" t="n">
        <v>6.8</v>
      </c>
      <c r="H3" t="n">
        <v>0.45</v>
      </c>
      <c r="I3" t="n">
        <v>11250000</v>
      </c>
    </row>
    <row r="4">
      <c r="A4" t="inlineStr">
        <is>
          <t>2025-12-08</t>
        </is>
      </c>
      <c r="B4" t="inlineStr">
        <is>
          <t>某股東B</t>
        </is>
      </c>
      <c r="C4" t="inlineStr">
        <is>
          <t>主要股東</t>
        </is>
      </c>
      <c r="D4" t="inlineStr">
        <is>
          <t>減持</t>
        </is>
      </c>
      <c r="E4" t="n">
        <v>-24880000</v>
      </c>
      <c r="F4" t="n">
        <v>15000000</v>
      </c>
      <c r="G4" t="n">
        <v>3.6</v>
      </c>
      <c r="H4" t="n">
        <v>0.5600000000000001</v>
      </c>
      <c r="I4" t="n">
        <v>13932800</v>
      </c>
      <c r="J4" t="inlineStr">
        <is>
          <t>高位減持</t>
        </is>
      </c>
    </row>
    <row r="6">
      <c r="A6" t="inlineStr">
        <is>
          <t>說明：</t>
        </is>
      </c>
      <c r="B6" t="inlineStr">
        <is>
          <t>數據來源 HKEX 權益披露 + 新聞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3.5"/>
  <cols>
    <col width="12.75" customWidth="1" min="1" max="1"/>
    <col width="18.75" customWidth="1" min="2" max="2"/>
    <col width="47.625" bestFit="1" customWidth="1" min="3" max="3"/>
    <col width="13.75" customWidth="1" min="4" max="4"/>
    <col width="8.75" customWidth="1" min="5" max="5"/>
    <col width="13.75" customWidth="1" min="6" max="6"/>
  </cols>
  <sheetData>
    <row r="1">
      <c r="A1" t="inlineStr">
        <is>
          <t>日期</t>
        </is>
      </c>
      <c r="B1" t="inlineStr">
        <is>
          <t>來源</t>
        </is>
      </c>
      <c r="C1" t="inlineStr">
        <is>
          <t>標題／內容摘要</t>
        </is>
      </c>
      <c r="D1" t="inlineStr">
        <is>
          <t>連結</t>
        </is>
      </c>
      <c r="E1" t="inlineStr">
        <is>
          <t>故事主題</t>
        </is>
      </c>
      <c r="F1" t="inlineStr">
        <is>
          <t>情緒評分 (1-10)</t>
        </is>
      </c>
    </row>
    <row r="2" ht="15" customHeight="1">
      <c r="A2" t="inlineStr">
        <is>
          <t>2025-10-20</t>
        </is>
      </c>
      <c r="B2" t="inlineStr">
        <is>
          <t>智通財經</t>
        </is>
      </c>
      <c r="C2" t="inlineStr">
        <is>
          <t>中國金石正推進智利 Pumillahue 項目</t>
        </is>
      </c>
      <c r="D2" s="1" t="inlineStr">
        <is>
          <t>https://...</t>
        </is>
      </c>
      <c r="E2" t="inlineStr">
        <is>
          <t>業務進展</t>
        </is>
      </c>
      <c r="F2" t="n">
        <v>6</v>
      </c>
    </row>
    <row r="3" ht="15" customHeight="1">
      <c r="A3" t="inlineStr">
        <is>
          <t>2025-11-05</t>
        </is>
      </c>
      <c r="B3" t="inlineStr">
        <is>
          <t>智通財經</t>
        </is>
      </c>
      <c r="C3" t="inlineStr">
        <is>
          <t>中國金石尾盤漲超 35%，獲兩大股東增持</t>
        </is>
      </c>
      <c r="D3" s="1" t="inlineStr">
        <is>
          <t>https://...</t>
        </is>
      </c>
      <c r="E3" t="inlineStr">
        <is>
          <t>股東增持</t>
        </is>
      </c>
      <c r="F3" t="n">
        <v>9</v>
      </c>
    </row>
    <row r="4" ht="15" customHeight="1">
      <c r="A4" t="inlineStr">
        <is>
          <t>2025-11-20</t>
        </is>
      </c>
      <c r="B4" t="inlineStr">
        <is>
          <t>騰訊財經</t>
        </is>
      </c>
      <c r="C4" t="inlineStr">
        <is>
          <t>港股異動｜中國金石早盤漲超 40% 午後急跌再拉</t>
        </is>
      </c>
      <c r="D4" s="1" t="inlineStr">
        <is>
          <t>https://...</t>
        </is>
      </c>
      <c r="E4" t="inlineStr">
        <is>
          <t>價格波動</t>
        </is>
      </c>
      <c r="F4" t="n">
        <v>10</v>
      </c>
    </row>
    <row r="5" ht="15" customHeight="1">
      <c r="A5" t="inlineStr">
        <is>
          <t>2025-12-08</t>
        </is>
      </c>
      <c r="B5" t="inlineStr">
        <is>
          <t>鳳凰財經</t>
        </is>
      </c>
      <c r="C5" t="inlineStr">
        <is>
          <t>中國金石尾盤轉漲近 6%，近期獲兩大主要股東增持</t>
        </is>
      </c>
      <c r="D5" s="1" t="inlineStr">
        <is>
          <t>https://...</t>
        </is>
      </c>
      <c r="E5" t="inlineStr">
        <is>
          <t>股東增持</t>
        </is>
      </c>
      <c r="F5" t="n">
        <v>7</v>
      </c>
    </row>
    <row r="7">
      <c r="A7" t="inlineStr">
        <is>
          <t>說明：</t>
        </is>
      </c>
      <c r="B7" t="inlineStr">
        <is>
          <t>手動從智通、同花順、鳳凰網等收集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3.5"/>
  <cols>
    <col width="8.75" customWidth="1" min="1" max="1"/>
    <col width="17.75" customWidth="1" min="2" max="2"/>
    <col width="99.125" bestFit="1" customWidth="1" min="3" max="3"/>
    <col width="37.75" customWidth="1" min="4" max="4"/>
    <col width="28.75" customWidth="1" min="5" max="5"/>
    <col width="13.75" customWidth="1" min="6" max="6"/>
  </cols>
  <sheetData>
    <row r="1">
      <c r="A1" t="inlineStr">
        <is>
          <t>模式編號</t>
        </is>
      </c>
      <c r="B1" t="inlineStr">
        <is>
          <t>模式名稱</t>
        </is>
      </c>
      <c r="C1" t="inlineStr">
        <is>
          <t>核心特徵</t>
        </is>
      </c>
      <c r="D1" t="inlineStr">
        <is>
          <t>觀察指標</t>
        </is>
      </c>
      <c r="E1" t="inlineStr">
        <is>
          <t>風險提示</t>
        </is>
      </c>
      <c r="F1" t="inlineStr">
        <is>
          <t>重演可能性 (1-5)</t>
        </is>
      </c>
    </row>
    <row r="2">
      <c r="A2" t="inlineStr">
        <is>
          <t>A</t>
        </is>
      </c>
      <c r="B2" t="inlineStr">
        <is>
          <t>多輪小額發股洗名冊</t>
        </is>
      </c>
      <c r="C2" t="inlineStr">
        <is>
          <t>一年內 ≥3 次發股清債/配股；股本從 1-2 億推上 3-5 億；新股東名單出現</t>
        </is>
      </c>
      <c r="D2" t="inlineStr">
        <is>
          <t>過去 12-24 月發股次數；股本擴張倍數；新股東占比</t>
        </is>
      </c>
      <c r="E2" t="inlineStr">
        <is>
          <t>攤薄嚴重；若無後續炒作易成「無底深潭」</t>
        </is>
      </c>
      <c r="F2" t="n">
        <v>5</v>
      </c>
    </row>
    <row r="3">
      <c r="A3" t="inlineStr">
        <is>
          <t>B</t>
        </is>
      </c>
      <c r="B3" t="inlineStr">
        <is>
          <t>大折讓供股 + 溢價配股組合拳</t>
        </is>
      </c>
      <c r="C3" t="inlineStr">
        <is>
          <t>先供股（折讓 &gt;20%）；6 個月內向單一人士溢價發股；持股逼近 5% 線</t>
        </is>
      </c>
      <c r="D3" t="inlineStr">
        <is>
          <t>供股後 180 日內是否出現溢價配股；受讓人持股比例；作價對比</t>
        </is>
      </c>
      <c r="E3" t="inlineStr">
        <is>
          <t>溢價配股可能只是「配合演出」；實際控制人未必真金白銀</t>
        </is>
      </c>
      <c r="F3" t="n">
        <v>4</v>
      </c>
    </row>
    <row r="4">
      <c r="A4" t="inlineStr">
        <is>
          <t>C</t>
        </is>
      </c>
      <c r="B4" t="inlineStr">
        <is>
          <t>財技先行，故事滯後</t>
        </is>
      </c>
      <c r="C4" t="inlineStr">
        <is>
          <t>財技（供股/配股）早於升浪 3-6 月完成；升浪時媒體才密集報導業務故事；CCASS 集中發生在升浪中後段</t>
        </is>
      </c>
      <c r="D4" t="inlineStr">
        <is>
          <t>公告完成日 vs 首波突破日時間差；新聞密度變化；CCASS 集中時點</t>
        </is>
      </c>
      <c r="E4" t="inlineStr">
        <is>
          <t>新聞是跟圖表走，非領先指標；追高風險極大</t>
        </is>
      </c>
      <c r="F4" t="n">
        <v>5</v>
      </c>
    </row>
    <row r="6">
      <c r="A6" t="inlineStr">
        <is>
          <t>說明：</t>
        </is>
      </c>
      <c r="B6" t="inlineStr">
        <is>
          <t>重演可能性 1=低，5=極高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E18" sqref="E18"/>
    </sheetView>
  </sheetViews>
  <sheetFormatPr baseColWidth="8" defaultRowHeight="13.5"/>
  <cols>
    <col width="10.75" customWidth="1" min="1" max="1"/>
    <col width="50.75" customWidth="1" min="2" max="2"/>
    <col width="26.75" customWidth="1" min="3" max="3"/>
    <col width="13.75" customWidth="1" min="4" max="4"/>
    <col width="50.75" customWidth="1" min="5" max="5"/>
  </cols>
  <sheetData>
    <row r="1">
      <c r="A1" t="inlineStr">
        <is>
          <t>步驟</t>
        </is>
      </c>
      <c r="B1" t="inlineStr">
        <is>
          <t>操作</t>
        </is>
      </c>
      <c r="C1" t="inlineStr">
        <is>
          <t>工具</t>
        </is>
      </c>
      <c r="D1" t="inlineStr">
        <is>
          <t>輸出到哪張表</t>
        </is>
      </c>
      <c r="E1" t="inlineStr">
        <is>
          <t>Python 示例函數</t>
        </is>
      </c>
    </row>
    <row r="2">
      <c r="A2" t="inlineStr">
        <is>
          <t>1</t>
        </is>
      </c>
      <c r="B2" t="inlineStr">
        <is>
          <t>Title Search 抓公告清單</t>
        </is>
      </c>
      <c r="C2" t="inlineStr">
        <is>
          <t>requests + BeautifulSoup</t>
        </is>
      </c>
      <c r="D2" t="inlineStr">
        <is>
          <t>兩張表都需要</t>
        </is>
      </c>
      <c r="E2" t="inlineStr">
        <is>
          <t>fetch_hkex_announcements(stock_code, date_from, date_to)</t>
        </is>
      </c>
    </row>
    <row r="3">
      <c r="A3" t="inlineStr">
        <is>
          <t>2</t>
        </is>
      </c>
      <c r="B3" t="inlineStr">
        <is>
          <t>下載 PDF 並提取數據（基礎）</t>
        </is>
      </c>
      <c r="C3" t="inlineStr">
        <is>
          <t>PyPDF2 / OCR + GPT-4</t>
        </is>
      </c>
      <c r="D3" t="inlineStr">
        <is>
          <t>A_精簡版</t>
        </is>
      </c>
      <c r="E3" t="inlineStr">
        <is>
          <t>extract_equity_issue_basic(pdf_url) → 返回 11 欄</t>
        </is>
      </c>
    </row>
    <row r="4">
      <c r="A4" t="inlineStr">
        <is>
          <t>3</t>
        </is>
      </c>
      <c r="B4" t="inlineStr">
        <is>
          <t>下載 PDF 並提取數據（完整）</t>
        </is>
      </c>
      <c r="C4" t="inlineStr">
        <is>
          <t>OCR + GPT-4 + NER</t>
        </is>
      </c>
      <c r="D4" t="inlineStr">
        <is>
          <t>B_詳細版</t>
        </is>
      </c>
      <c r="E4" t="inlineStr">
        <is>
          <t>extract_equity_issue_full(pdf_url) → 返回 20 欄</t>
        </is>
      </c>
    </row>
    <row r="5">
      <c r="A5" t="inlineStr">
        <is>
          <t>4</t>
        </is>
      </c>
      <c r="B5" t="inlineStr">
        <is>
          <t>抓 Monthly Return FF305 取股本數</t>
        </is>
      </c>
      <c r="C5" t="inlineStr">
        <is>
          <t>requests + PDF parser</t>
        </is>
      </c>
      <c r="D5" t="inlineStr">
        <is>
          <t>B_詳細版（股本前欄）</t>
        </is>
      </c>
      <c r="E5" t="inlineStr">
        <is>
          <t>get_issued_shares_from_monthly_return(stock_code, year, month)</t>
        </is>
      </c>
    </row>
    <row r="6">
      <c r="A6" t="inlineStr">
        <is>
          <t>5</t>
        </is>
      </c>
      <c r="B6" t="inlineStr">
        <is>
          <t>計算攤薄%、折溢價%</t>
        </is>
      </c>
      <c r="C6" t="inlineStr">
        <is>
          <t>pandas</t>
        </is>
      </c>
      <c r="D6" t="inlineStr">
        <is>
          <t>兩張表</t>
        </is>
      </c>
      <c r="E6" t="inlineStr">
        <is>
          <t>df['攤薄%'] = df['新股數']/df['股本後']*100</t>
        </is>
      </c>
    </row>
    <row r="7">
      <c r="A7" t="inlineStr">
        <is>
          <t>6</t>
        </is>
      </c>
      <c r="B7" t="inlineStr">
        <is>
          <t>抓 Yahoo Finance 價量數據</t>
        </is>
      </c>
      <c r="C7" t="inlineStr">
        <is>
          <t>yfinance</t>
        </is>
      </c>
      <c r="D7" t="inlineStr">
        <is>
          <t>3_價量異動</t>
        </is>
      </c>
      <c r="E7" t="inlineStr">
        <is>
          <t>yf.download(ticker, start, end)</t>
        </is>
      </c>
    </row>
    <row r="8">
      <c r="A8" t="inlineStr">
        <is>
          <t>7</t>
        </is>
      </c>
      <c r="B8" t="inlineStr">
        <is>
          <t>抓 CCASS SDW 數據</t>
        </is>
      </c>
      <c r="C8" t="inlineStr">
        <is>
          <t>Selenium + CSV parser</t>
        </is>
      </c>
      <c r="D8" t="inlineStr">
        <is>
          <t>2_CCASS集中度</t>
        </is>
      </c>
      <c r="E8" t="inlineStr">
        <is>
          <t>fetch_ccass_data(stock_code, date)</t>
        </is>
      </c>
    </row>
    <row r="9">
      <c r="A9" t="inlineStr">
        <is>
          <t>8</t>
        </is>
      </c>
      <c r="B9" t="inlineStr">
        <is>
          <t>新聞爬蟲（智通／同花順）</t>
        </is>
      </c>
      <c r="C9" t="inlineStr">
        <is>
          <t>RSS / BeautifulSoup</t>
        </is>
      </c>
      <c r="D9" t="inlineStr">
        <is>
          <t>5_市場敘事</t>
        </is>
      </c>
      <c r="E9" t="inlineStr">
        <is>
          <t>fetch_aastocks_news(stock_code)</t>
        </is>
      </c>
    </row>
    <row r="11">
      <c r="A11" t="inlineStr">
        <is>
          <t>典型使用場景 1</t>
        </is>
      </c>
      <c r="B11" t="inlineStr">
        <is>
          <t>快速掃描 20 隻股票財技 → 用 A_精簡版，批量運算攤薄率排序</t>
        </is>
      </c>
    </row>
    <row r="12">
      <c r="A12" t="inlineStr">
        <is>
          <t>典型使用場景 2</t>
        </is>
      </c>
      <c r="B12" t="inlineStr">
        <is>
          <t>深度拆解 1380 升前做過咩 → 用 B_詳細版，逐筆對照認購人、用途、股東會</t>
        </is>
      </c>
    </row>
    <row r="14">
      <c r="A14" t="inlineStr">
        <is>
          <t>自動化流程建議</t>
        </is>
      </c>
      <c r="B14" t="inlineStr">
        <is>
          <t>每日早上 8 點 n8n 觸發：先更新 A_精簡版（全市場掃描），再更新 B_詳細版（watchlist 深度分析）</t>
        </is>
      </c>
    </row>
    <row r="16">
      <c r="A16" t="inlineStr">
        <is>
          <t>模板設計</t>
        </is>
      </c>
      <c r="B16" t="inlineStr">
        <is>
          <t>雙表設計：精簡版機器運算 + 詳細版人工拆解 = 效率與深度兼顧</t>
        </is>
      </c>
      <c r="C16" t="inlineStr">
        <is>
          <t>Rachel Lam @ 2026-03-19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2026-03-19T00:49:07Z</dcterms:created>
  <dcterms:modified xmlns:dcterms="http://purl.org/dc/terms/" xmlns:xsi="http://www.w3.org/2001/XMLSchema-instance" xsi:type="dcterms:W3CDTF">2026-06-09T04:11:13Z</dcterms:modified>
  <cp:lastModifiedBy>Administrator</cp:lastModifiedBy>
</cp:coreProperties>
</file>